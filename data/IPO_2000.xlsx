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gavin.AVOS-LP-GAVIN\Documents\Avos\Code\market-conditions-dashboard\data\"/>
    </mc:Choice>
  </mc:AlternateContent>
  <xr:revisionPtr revIDLastSave="0" documentId="8_{1467AB13-872F-499C-A7CA-F566F1F74313}" xr6:coauthVersionLast="47" xr6:coauthVersionMax="47" xr10:uidLastSave="{00000000-0000-0000-0000-000000000000}"/>
  <bookViews>
    <workbookView xWindow="57480" yWindow="1935" windowWidth="518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44" i="1" l="1"/>
  <c r="H277" i="1"/>
  <c r="H285" i="1"/>
  <c r="H62" i="1"/>
  <c r="I116" i="1"/>
  <c r="H304" i="1"/>
  <c r="I38" i="1"/>
  <c r="H100" i="1"/>
  <c r="H150" i="1"/>
  <c r="I273" i="1"/>
  <c r="I62" i="1"/>
  <c r="I285" i="1"/>
  <c r="H116" i="1"/>
  <c r="H38" i="1"/>
  <c r="I150" i="1"/>
  <c r="I277" i="1"/>
  <c r="H344" i="1"/>
  <c r="H273" i="1"/>
  <c r="I100" i="1"/>
  <c r="I304" i="1"/>
  <c r="H162" i="1"/>
  <c r="H112" i="1"/>
  <c r="I196" i="1"/>
  <c r="H283" i="1"/>
  <c r="I235" i="1"/>
  <c r="H18" i="1"/>
  <c r="I43" i="1"/>
  <c r="H156" i="1"/>
  <c r="I303" i="1"/>
  <c r="H303" i="1"/>
  <c r="I283" i="1"/>
  <c r="H279" i="1"/>
  <c r="I112" i="1"/>
  <c r="I18" i="1"/>
  <c r="I279" i="1"/>
  <c r="H235" i="1"/>
  <c r="H43" i="1"/>
  <c r="H196" i="1"/>
  <c r="I156" i="1"/>
  <c r="I162" i="1"/>
  <c r="H255" i="1"/>
  <c r="H121" i="1"/>
  <c r="I355" i="1"/>
  <c r="H260" i="1"/>
  <c r="H50" i="1"/>
  <c r="I121" i="1"/>
  <c r="H146" i="1"/>
  <c r="I260" i="1"/>
  <c r="H361" i="1"/>
  <c r="H355" i="1"/>
  <c r="I255" i="1"/>
  <c r="I98" i="1"/>
  <c r="I50" i="1"/>
  <c r="I243" i="1"/>
  <c r="I361" i="1"/>
  <c r="H243" i="1"/>
  <c r="I146" i="1"/>
  <c r="H98" i="1"/>
  <c r="H95" i="1"/>
  <c r="I246" i="1"/>
  <c r="I89" i="1"/>
  <c r="H8" i="1"/>
  <c r="H34" i="1"/>
  <c r="H324" i="1"/>
  <c r="I111" i="1"/>
  <c r="H189" i="1"/>
  <c r="I324" i="1"/>
  <c r="I258" i="1"/>
  <c r="H258" i="1"/>
  <c r="H111" i="1"/>
  <c r="H29" i="1"/>
  <c r="I8" i="1"/>
  <c r="H246" i="1"/>
  <c r="I189" i="1"/>
  <c r="I29" i="1"/>
  <c r="I34" i="1"/>
  <c r="H89" i="1"/>
  <c r="I95" i="1"/>
  <c r="H347" i="1"/>
  <c r="I161" i="1"/>
  <c r="I71" i="1"/>
  <c r="H270" i="1"/>
  <c r="H188" i="1"/>
  <c r="H71" i="1"/>
  <c r="H20" i="1"/>
  <c r="H167" i="1"/>
  <c r="H83" i="1"/>
  <c r="H210" i="1"/>
  <c r="I158" i="1"/>
  <c r="I20" i="1"/>
  <c r="I270" i="1"/>
  <c r="H158" i="1"/>
  <c r="H161" i="1"/>
  <c r="I188" i="1"/>
  <c r="I347" i="1"/>
  <c r="I210" i="1"/>
  <c r="I83" i="1"/>
  <c r="I167" i="1"/>
  <c r="I293" i="1"/>
  <c r="I369" i="1"/>
  <c r="H265" i="1"/>
  <c r="I63" i="1"/>
  <c r="I214" i="1"/>
  <c r="H321" i="1"/>
  <c r="I79" i="1"/>
  <c r="I217" i="1"/>
  <c r="I164" i="1"/>
  <c r="H191" i="1"/>
  <c r="H369" i="1"/>
  <c r="H214" i="1"/>
  <c r="I265" i="1"/>
  <c r="H217" i="1"/>
  <c r="H293" i="1"/>
  <c r="H63" i="1"/>
  <c r="I321" i="1"/>
  <c r="H164" i="1"/>
  <c r="H79" i="1"/>
  <c r="I191" i="1"/>
  <c r="H314" i="1"/>
  <c r="I207" i="1"/>
  <c r="H245" i="1"/>
  <c r="I269" i="1"/>
  <c r="H57" i="1"/>
  <c r="I305" i="1"/>
  <c r="H332" i="1"/>
  <c r="H223" i="1"/>
  <c r="H266" i="1"/>
  <c r="I311" i="1"/>
  <c r="H207" i="1"/>
  <c r="I332" i="1"/>
  <c r="H305" i="1"/>
  <c r="I245" i="1"/>
  <c r="I314" i="1"/>
  <c r="I223" i="1"/>
  <c r="I266" i="1"/>
  <c r="H311" i="1"/>
  <c r="H269" i="1"/>
  <c r="I57" i="1"/>
  <c r="I209" i="1"/>
  <c r="I49" i="1"/>
  <c r="H82" i="1"/>
  <c r="H49" i="1"/>
  <c r="H109" i="1"/>
  <c r="I308" i="1"/>
  <c r="I292" i="1"/>
  <c r="I82" i="1"/>
  <c r="I124" i="1"/>
  <c r="H115" i="1"/>
  <c r="H124" i="1"/>
  <c r="H110" i="1"/>
  <c r="I110" i="1"/>
  <c r="I203" i="1"/>
  <c r="H292" i="1"/>
  <c r="H203" i="1"/>
  <c r="I115" i="1"/>
  <c r="H308" i="1"/>
  <c r="I109" i="1"/>
  <c r="H209" i="1"/>
  <c r="H92" i="1"/>
  <c r="I127" i="1"/>
  <c r="H262" i="1"/>
  <c r="H302" i="1"/>
  <c r="H348" i="1"/>
  <c r="H218" i="1"/>
  <c r="H204" i="1"/>
  <c r="H229" i="1"/>
  <c r="H241" i="1"/>
  <c r="I48" i="1"/>
  <c r="I92" i="1"/>
  <c r="H127" i="1"/>
  <c r="I204" i="1"/>
  <c r="I348" i="1"/>
  <c r="H48" i="1"/>
  <c r="I241" i="1"/>
  <c r="I262" i="1"/>
  <c r="I218" i="1"/>
  <c r="I302" i="1"/>
  <c r="I229" i="1"/>
  <c r="H40" i="1"/>
  <c r="I190" i="1"/>
  <c r="H343" i="1"/>
  <c r="I5" i="1"/>
  <c r="H27" i="1"/>
  <c r="I298" i="1"/>
  <c r="H114" i="1"/>
  <c r="H180" i="1"/>
  <c r="I307" i="1"/>
  <c r="H166" i="1"/>
  <c r="I180" i="1"/>
  <c r="I114" i="1"/>
  <c r="H298" i="1"/>
  <c r="H307" i="1"/>
  <c r="I343" i="1"/>
  <c r="I166" i="1"/>
  <c r="I27" i="1"/>
  <c r="I40" i="1"/>
  <c r="H5" i="1"/>
  <c r="H190" i="1"/>
  <c r="H90" i="1"/>
  <c r="H349" i="1"/>
  <c r="I147" i="1"/>
  <c r="I175" i="1"/>
  <c r="I90" i="1"/>
  <c r="I267" i="1"/>
  <c r="I222" i="1"/>
  <c r="H183" i="1"/>
  <c r="I225" i="1"/>
  <c r="I136" i="1"/>
  <c r="H356" i="1"/>
  <c r="I183" i="1"/>
  <c r="H267" i="1"/>
  <c r="H175" i="1"/>
  <c r="H147" i="1"/>
  <c r="H136" i="1"/>
  <c r="H225" i="1"/>
  <c r="I349" i="1"/>
  <c r="H222" i="1"/>
  <c r="I356" i="1"/>
  <c r="H142" i="1"/>
  <c r="I300" i="1"/>
  <c r="I46" i="1"/>
  <c r="I96" i="1"/>
  <c r="I153" i="1"/>
  <c r="H242" i="1"/>
  <c r="H128" i="1"/>
  <c r="I60" i="1"/>
  <c r="H113" i="1"/>
  <c r="I113" i="1"/>
  <c r="I142" i="1"/>
  <c r="H300" i="1"/>
  <c r="H46" i="1"/>
  <c r="H96" i="1"/>
  <c r="I52" i="1"/>
  <c r="I242" i="1"/>
  <c r="H52" i="1"/>
  <c r="H153" i="1"/>
  <c r="H60" i="1"/>
  <c r="I128" i="1"/>
  <c r="I261" i="1"/>
  <c r="I221" i="1"/>
  <c r="H239" i="1"/>
  <c r="H322" i="1"/>
  <c r="H138" i="1"/>
  <c r="H19" i="1"/>
  <c r="H256" i="1"/>
  <c r="I256" i="1"/>
  <c r="H312" i="1"/>
  <c r="I234" i="1"/>
  <c r="I177" i="1"/>
  <c r="I19" i="1"/>
  <c r="H177" i="1"/>
  <c r="H261" i="1"/>
  <c r="I138" i="1"/>
  <c r="H234" i="1"/>
  <c r="H221" i="1"/>
  <c r="I312" i="1"/>
  <c r="I239" i="1"/>
  <c r="I322" i="1"/>
  <c r="H66" i="1"/>
  <c r="I126" i="1"/>
  <c r="I178" i="1"/>
  <c r="I67" i="1"/>
  <c r="H134" i="1"/>
  <c r="H105" i="1"/>
  <c r="H39" i="1"/>
  <c r="H26" i="1"/>
  <c r="I173" i="1"/>
  <c r="I134" i="1"/>
  <c r="I176" i="1"/>
  <c r="H67" i="1"/>
  <c r="H178" i="1"/>
  <c r="H126" i="1"/>
  <c r="I26" i="1"/>
  <c r="I105" i="1"/>
  <c r="I39" i="1"/>
  <c r="H176" i="1"/>
  <c r="I66" i="1"/>
  <c r="H173" i="1"/>
  <c r="H76" i="1"/>
  <c r="I108" i="1"/>
  <c r="I51" i="1"/>
  <c r="H199" i="1"/>
  <c r="H87" i="1"/>
  <c r="H131" i="1"/>
  <c r="I155" i="1"/>
  <c r="I231" i="1"/>
  <c r="H182" i="1"/>
  <c r="H81" i="1"/>
  <c r="H51" i="1"/>
  <c r="H108" i="1"/>
  <c r="I87" i="1"/>
  <c r="H231" i="1"/>
  <c r="H155" i="1"/>
  <c r="I76" i="1"/>
  <c r="I199" i="1"/>
  <c r="I131" i="1"/>
  <c r="I182" i="1"/>
  <c r="I81" i="1"/>
  <c r="H17" i="1"/>
  <c r="I299" i="1"/>
  <c r="I171" i="1"/>
  <c r="H368" i="1"/>
  <c r="H170" i="1"/>
  <c r="H351" i="1"/>
  <c r="H102" i="1"/>
  <c r="I143" i="1"/>
  <c r="I118" i="1"/>
  <c r="H118" i="1"/>
  <c r="H185" i="1"/>
  <c r="I102" i="1"/>
  <c r="I368" i="1"/>
  <c r="I185" i="1"/>
  <c r="I351" i="1"/>
  <c r="I170" i="1"/>
  <c r="I17" i="1"/>
  <c r="H299" i="1"/>
  <c r="H143" i="1"/>
  <c r="H171" i="1"/>
  <c r="H61" i="1"/>
  <c r="I35" i="1"/>
  <c r="I32" i="1"/>
  <c r="I268" i="1"/>
  <c r="I22" i="1"/>
  <c r="I86" i="1"/>
  <c r="I330" i="1"/>
  <c r="I287" i="1"/>
  <c r="I70" i="1"/>
  <c r="H253" i="1"/>
  <c r="I253" i="1"/>
  <c r="H86" i="1"/>
  <c r="I61" i="1"/>
  <c r="H330" i="1"/>
  <c r="H22" i="1"/>
  <c r="H35" i="1"/>
  <c r="H32" i="1"/>
  <c r="H268" i="1"/>
  <c r="H287" i="1"/>
  <c r="H70" i="1"/>
  <c r="H125" i="1"/>
  <c r="H99" i="1"/>
  <c r="H213" i="1"/>
  <c r="H200" i="1"/>
  <c r="H296" i="1"/>
  <c r="H33" i="1"/>
  <c r="I125" i="1"/>
  <c r="I249" i="1"/>
  <c r="H181" i="1"/>
  <c r="I318" i="1"/>
  <c r="I224" i="1"/>
  <c r="H318" i="1"/>
  <c r="H224" i="1"/>
  <c r="H249" i="1"/>
  <c r="I33" i="1"/>
  <c r="I181" i="1"/>
  <c r="I99" i="1"/>
  <c r="I296" i="1"/>
  <c r="I213" i="1"/>
  <c r="I200" i="1"/>
  <c r="H93" i="1"/>
  <c r="I44" i="1"/>
  <c r="H165" i="1"/>
  <c r="I192" i="1"/>
  <c r="I16" i="1"/>
  <c r="I15" i="1"/>
  <c r="I205" i="1"/>
  <c r="I315" i="1"/>
  <c r="I372" i="1"/>
  <c r="H205" i="1"/>
  <c r="I53" i="1"/>
  <c r="H44" i="1"/>
  <c r="H192" i="1"/>
  <c r="H315" i="1"/>
  <c r="H53" i="1"/>
  <c r="I93" i="1"/>
  <c r="H16" i="1"/>
  <c r="H372" i="1"/>
  <c r="I165" i="1"/>
  <c r="H15" i="1"/>
  <c r="I160" i="1"/>
  <c r="H148" i="1"/>
  <c r="I69" i="1"/>
  <c r="H289" i="1"/>
  <c r="I306" i="1"/>
  <c r="H309" i="1"/>
  <c r="H187" i="1"/>
  <c r="I65" i="1"/>
  <c r="I36" i="1"/>
  <c r="H104" i="1"/>
  <c r="I104" i="1"/>
  <c r="I289" i="1"/>
  <c r="H160" i="1"/>
  <c r="H65" i="1"/>
  <c r="H69" i="1"/>
  <c r="I309" i="1"/>
  <c r="H306" i="1"/>
  <c r="I187" i="1"/>
  <c r="I148" i="1"/>
  <c r="H36" i="1"/>
  <c r="H206" i="1"/>
  <c r="I139" i="1"/>
  <c r="I154" i="1"/>
  <c r="H172" i="1"/>
  <c r="H68" i="1"/>
  <c r="I327" i="1"/>
  <c r="H159" i="1"/>
  <c r="I193" i="1"/>
  <c r="H352" i="1"/>
  <c r="I333" i="1"/>
  <c r="I172" i="1"/>
  <c r="I159" i="1"/>
  <c r="H139" i="1"/>
  <c r="H193" i="1"/>
  <c r="H154" i="1"/>
  <c r="I352" i="1"/>
  <c r="H327" i="1"/>
  <c r="I206" i="1"/>
  <c r="I68" i="1"/>
  <c r="H333" i="1"/>
  <c r="I215" i="1"/>
  <c r="H367" i="1"/>
  <c r="I360" i="1"/>
  <c r="H233" i="1"/>
  <c r="H75" i="1"/>
  <c r="H119" i="1"/>
  <c r="H228" i="1"/>
  <c r="I373" i="1"/>
  <c r="H373" i="1"/>
  <c r="I13" i="1"/>
  <c r="H247" i="1"/>
  <c r="I75" i="1"/>
  <c r="H360" i="1"/>
  <c r="H215" i="1"/>
  <c r="I247" i="1"/>
  <c r="H13" i="1"/>
  <c r="I119" i="1"/>
  <c r="I233" i="1"/>
  <c r="I367" i="1"/>
  <c r="I228" i="1"/>
  <c r="I278" i="1"/>
  <c r="H294" i="1"/>
  <c r="I140" i="1"/>
  <c r="H346" i="1"/>
  <c r="I329" i="1"/>
  <c r="H194" i="1"/>
  <c r="I370" i="1"/>
  <c r="H6" i="1"/>
  <c r="H236" i="1"/>
  <c r="H278" i="1"/>
  <c r="H329" i="1"/>
  <c r="H339" i="1"/>
  <c r="I339" i="1"/>
  <c r="I236" i="1"/>
  <c r="I194" i="1"/>
  <c r="I346" i="1"/>
  <c r="H370" i="1"/>
  <c r="I6" i="1"/>
  <c r="H140" i="1"/>
  <c r="I294" i="1"/>
  <c r="H366" i="1"/>
  <c r="H64" i="1"/>
  <c r="I274" i="1"/>
  <c r="H107" i="1"/>
  <c r="I263" i="1"/>
  <c r="H135" i="1"/>
  <c r="I353" i="1"/>
  <c r="I107" i="1"/>
  <c r="H101" i="1"/>
  <c r="H250" i="1"/>
  <c r="H227" i="1"/>
  <c r="I250" i="1"/>
  <c r="I227" i="1"/>
  <c r="I366" i="1"/>
  <c r="H353" i="1"/>
  <c r="I101" i="1"/>
  <c r="I135" i="1"/>
  <c r="H263" i="1"/>
  <c r="H274" i="1"/>
  <c r="I64" i="1"/>
  <c r="H281" i="1"/>
  <c r="H328" i="1"/>
  <c r="H144" i="1"/>
  <c r="H220" i="1"/>
  <c r="H237" i="1"/>
  <c r="H12" i="1"/>
  <c r="H47" i="1"/>
  <c r="I284" i="1"/>
  <c r="I37" i="1"/>
  <c r="I328" i="1"/>
  <c r="I354" i="1"/>
  <c r="I144" i="1"/>
  <c r="I237" i="1"/>
  <c r="H284" i="1"/>
  <c r="H37" i="1"/>
  <c r="I281" i="1"/>
  <c r="I47" i="1"/>
  <c r="I220" i="1"/>
  <c r="I12" i="1"/>
  <c r="H354" i="1"/>
  <c r="H80" i="1"/>
  <c r="H30" i="1"/>
  <c r="I45" i="1"/>
  <c r="I74" i="1"/>
  <c r="I120" i="1"/>
  <c r="I340" i="1"/>
  <c r="I88" i="1"/>
  <c r="H45" i="1"/>
  <c r="H316" i="1"/>
  <c r="I7" i="1"/>
  <c r="H24" i="1"/>
  <c r="I30" i="1"/>
  <c r="I24" i="1"/>
  <c r="H7" i="1"/>
  <c r="H74" i="1"/>
  <c r="H88" i="1"/>
  <c r="H120" i="1"/>
  <c r="I80" i="1"/>
  <c r="H340" i="1"/>
  <c r="I316" i="1"/>
  <c r="I94" i="1"/>
  <c r="I197" i="1"/>
  <c r="H248" i="1"/>
  <c r="I325" i="1"/>
  <c r="I58" i="1"/>
  <c r="I169" i="1"/>
  <c r="H320" i="1"/>
  <c r="I219" i="1"/>
  <c r="H117" i="1"/>
  <c r="H363" i="1"/>
  <c r="H94" i="1"/>
  <c r="H325" i="1"/>
  <c r="I117" i="1"/>
  <c r="H169" i="1"/>
  <c r="I320" i="1"/>
  <c r="H197" i="1"/>
  <c r="H58" i="1"/>
  <c r="I248" i="1"/>
  <c r="H219" i="1"/>
  <c r="I363" i="1"/>
  <c r="I25" i="1"/>
  <c r="I152" i="1"/>
  <c r="I151" i="1"/>
  <c r="I54" i="1"/>
  <c r="H345" i="1"/>
  <c r="I259" i="1"/>
  <c r="H280" i="1"/>
  <c r="H56" i="1"/>
  <c r="I276" i="1"/>
  <c r="I103" i="1"/>
  <c r="I129" i="1"/>
  <c r="H341" i="1"/>
  <c r="H244" i="1"/>
  <c r="H359" i="1"/>
  <c r="H179" i="1"/>
  <c r="I271" i="1"/>
  <c r="I97" i="1"/>
  <c r="H358" i="1"/>
  <c r="H282" i="1"/>
  <c r="H271" i="1"/>
  <c r="I244" i="1"/>
  <c r="H276" i="1"/>
  <c r="I56" i="1"/>
  <c r="I341" i="1"/>
  <c r="I345" i="1"/>
  <c r="H54" i="1"/>
  <c r="I282" i="1"/>
  <c r="H152" i="1"/>
  <c r="H25" i="1"/>
  <c r="H129" i="1"/>
  <c r="H130" i="1"/>
  <c r="I359" i="1"/>
  <c r="H103" i="1"/>
  <c r="H259" i="1"/>
  <c r="I130" i="1"/>
  <c r="I358" i="1"/>
  <c r="I280" i="1"/>
  <c r="H151" i="1"/>
  <c r="I179" i="1"/>
  <c r="H97" i="1"/>
  <c r="I14" i="1"/>
  <c r="H326" i="1"/>
  <c r="I331" i="1"/>
  <c r="H238" i="1"/>
  <c r="I357" i="1"/>
  <c r="I212" i="1"/>
  <c r="H331" i="1"/>
  <c r="H85" i="1"/>
  <c r="I122" i="1"/>
  <c r="I85" i="1"/>
  <c r="I338" i="1"/>
  <c r="H59" i="1"/>
  <c r="I326" i="1"/>
  <c r="H14" i="1"/>
  <c r="I59" i="1"/>
  <c r="I238" i="1"/>
  <c r="H212" i="1"/>
  <c r="H338" i="1"/>
  <c r="H122" i="1"/>
  <c r="H357" i="1"/>
  <c r="H310" i="1"/>
  <c r="H297" i="1"/>
  <c r="H251" i="1"/>
  <c r="I297" i="1"/>
  <c r="H275" i="1"/>
  <c r="I232" i="1"/>
  <c r="I31" i="1"/>
  <c r="H55" i="1"/>
  <c r="I272" i="1"/>
  <c r="H335" i="1"/>
  <c r="I335" i="1"/>
  <c r="H230" i="1"/>
  <c r="I275" i="1"/>
  <c r="I230" i="1"/>
  <c r="H31" i="1"/>
  <c r="H272" i="1"/>
  <c r="I55" i="1"/>
  <c r="I310" i="1"/>
  <c r="I251" i="1"/>
  <c r="H232" i="1"/>
  <c r="I149" i="1"/>
  <c r="I23" i="1"/>
  <c r="I195" i="1"/>
  <c r="I365" i="1"/>
  <c r="H186" i="1"/>
  <c r="H184" i="1"/>
  <c r="I133" i="1"/>
  <c r="H106" i="1"/>
  <c r="I216" i="1"/>
  <c r="H226" i="1"/>
  <c r="H216" i="1"/>
  <c r="H133" i="1"/>
  <c r="H195" i="1"/>
  <c r="I226" i="1"/>
  <c r="H23" i="1"/>
  <c r="H149" i="1"/>
  <c r="I184" i="1"/>
  <c r="I186" i="1"/>
  <c r="I106" i="1"/>
  <c r="H365" i="1"/>
  <c r="I201" i="1"/>
  <c r="H319" i="1"/>
  <c r="I342" i="1"/>
  <c r="I334" i="1"/>
  <c r="I319" i="1"/>
  <c r="H157" i="1"/>
  <c r="H201" i="1"/>
  <c r="I336" i="1"/>
  <c r="H342" i="1"/>
  <c r="I123" i="1"/>
  <c r="I288" i="1"/>
  <c r="I337" i="1"/>
  <c r="H123" i="1"/>
  <c r="I208" i="1"/>
  <c r="H337" i="1"/>
  <c r="I157" i="1"/>
  <c r="H208" i="1"/>
  <c r="H288" i="1"/>
  <c r="H334" i="1"/>
  <c r="H336" i="1"/>
  <c r="H264" i="1"/>
  <c r="I290" i="1"/>
  <c r="I364" i="1"/>
  <c r="I350" i="1"/>
  <c r="I323" i="1"/>
  <c r="I42" i="1"/>
  <c r="H145" i="1"/>
  <c r="H72" i="1"/>
  <c r="I28" i="1"/>
  <c r="I264" i="1"/>
  <c r="I10" i="1"/>
  <c r="H290" i="1"/>
  <c r="H323" i="1"/>
  <c r="H28" i="1"/>
  <c r="H364" i="1"/>
  <c r="I72" i="1"/>
  <c r="H42" i="1"/>
  <c r="H350" i="1"/>
  <c r="I145" i="1"/>
  <c r="H10" i="1"/>
  <c r="I211" i="1"/>
  <c r="I73" i="1"/>
  <c r="I198" i="1"/>
  <c r="H198" i="1"/>
  <c r="H78" i="1"/>
  <c r="I371" i="1"/>
  <c r="H317" i="1"/>
  <c r="I202" i="1"/>
  <c r="H202" i="1"/>
  <c r="H211" i="1"/>
  <c r="H257" i="1"/>
  <c r="I257" i="1"/>
  <c r="I78" i="1"/>
  <c r="H84" i="1"/>
  <c r="I174" i="1"/>
  <c r="I317" i="1"/>
  <c r="H174" i="1"/>
  <c r="I84" i="1"/>
  <c r="H73" i="1"/>
  <c r="H371" i="1"/>
  <c r="I77" i="1"/>
  <c r="I141" i="1"/>
  <c r="H313" i="1"/>
  <c r="H295" i="1"/>
  <c r="H9" i="1"/>
  <c r="H137" i="1"/>
  <c r="I163" i="1"/>
  <c r="H21" i="1"/>
  <c r="H77" i="1"/>
  <c r="I313" i="1"/>
  <c r="H168" i="1"/>
  <c r="I91" i="1"/>
  <c r="I295" i="1"/>
  <c r="I137" i="1"/>
  <c r="I168" i="1"/>
  <c r="I21" i="1"/>
  <c r="H163" i="1"/>
  <c r="H91" i="1"/>
  <c r="I9" i="1"/>
  <c r="H141" i="1"/>
  <c r="I41" i="1"/>
  <c r="I132" i="1"/>
  <c r="H254" i="1"/>
  <c r="I254" i="1"/>
  <c r="H41" i="1"/>
  <c r="H11" i="1"/>
  <c r="H240" i="1"/>
  <c r="I252" i="1"/>
  <c r="I240" i="1"/>
  <c r="I291" i="1"/>
  <c r="H132" i="1"/>
  <c r="I301" i="1"/>
  <c r="H286" i="1"/>
  <c r="H301" i="1"/>
  <c r="I11" i="1"/>
  <c r="H252" i="1"/>
  <c r="I362" i="1"/>
  <c r="I286" i="1"/>
  <c r="H291" i="1"/>
  <c r="H362" i="1"/>
</calcChain>
</file>

<file path=xl/sharedStrings.xml><?xml version="1.0" encoding="utf-8"?>
<sst xmlns="http://schemas.openxmlformats.org/spreadsheetml/2006/main" count="1994" uniqueCount="1325">
  <si>
    <t>EQY_FUND_CRNCY</t>
  </si>
  <si>
    <t>REL_INDEX</t>
  </si>
  <si>
    <t>FA_ADJUSTED</t>
  </si>
  <si>
    <t>LCL</t>
  </si>
  <si>
    <t>Ticker</t>
  </si>
  <si>
    <t>Name</t>
  </si>
  <si>
    <t>IPO Dt</t>
  </si>
  <si>
    <t>Price:D-1</t>
  </si>
  <si>
    <t>Market Cap</t>
  </si>
  <si>
    <t>IPO Offer Px Lst Cls % Chg</t>
  </si>
  <si>
    <t>IPO Offer Px 1st Opn Px % Chg</t>
  </si>
  <si>
    <t>IPO Sh Px</t>
  </si>
  <si>
    <t>IPO Sh Offered</t>
  </si>
  <si>
    <t>GICS Sector</t>
  </si>
  <si>
    <t>GICS Ind Name</t>
  </si>
  <si>
    <t>GICS SubInd Name</t>
  </si>
  <si>
    <t>None (369 securities)</t>
  </si>
  <si>
    <t>RGP US Equity</t>
  </si>
  <si>
    <t>RESOURCES CONNECTION INC</t>
  </si>
  <si>
    <t>12/15/2000</t>
  </si>
  <si>
    <t>RGP US</t>
  </si>
  <si>
    <t>Industrials</t>
  </si>
  <si>
    <t>Professional Services</t>
  </si>
  <si>
    <t>Research &amp; Consulting Services</t>
  </si>
  <si>
    <t>AET US Equity</t>
  </si>
  <si>
    <t>AETNA INC</t>
  </si>
  <si>
    <t>12/14/2000</t>
  </si>
  <si>
    <t>AET US</t>
  </si>
  <si>
    <t>GNVC US Equity</t>
  </si>
  <si>
    <t>GENVEC INC</t>
  </si>
  <si>
    <t>12/12/2000</t>
  </si>
  <si>
    <t>GNVC US</t>
  </si>
  <si>
    <t>WPSL US Equity</t>
  </si>
  <si>
    <t>W.P. STEWART &amp; CO LTD</t>
  </si>
  <si>
    <t>12/08/2000</t>
  </si>
  <si>
    <t>WPSL US</t>
  </si>
  <si>
    <t>ACAP US Equity</t>
  </si>
  <si>
    <t>AMERICAN PHYSICIANS CAPITAL</t>
  </si>
  <si>
    <t>ACAP US</t>
  </si>
  <si>
    <t>0911013D US Equity</t>
  </si>
  <si>
    <t>SPECIALTY LABORATORIES INC</t>
  </si>
  <si>
    <t>0911013D US</t>
  </si>
  <si>
    <t>SER LN Equity</t>
  </si>
  <si>
    <t>SEFTON RESOURCES INC</t>
  </si>
  <si>
    <t>SER LN</t>
  </si>
  <si>
    <t>EXHS US Equity</t>
  </si>
  <si>
    <t>EXHAUST TECHNOLOGIES INC</t>
  </si>
  <si>
    <t>12/07/2000</t>
  </si>
  <si>
    <t>EXHS US</t>
  </si>
  <si>
    <t>HBIO US Equity</t>
  </si>
  <si>
    <t>HARVARD BIOSCIENCE INC</t>
  </si>
  <si>
    <t>HBIO US</t>
  </si>
  <si>
    <t>Health Care</t>
  </si>
  <si>
    <t>Life Sciences Tools &amp; Services</t>
  </si>
  <si>
    <t>RIGL US Equity</t>
  </si>
  <si>
    <t>RIGEL PHARMACEUTICALS INC</t>
  </si>
  <si>
    <t>11/29/2000</t>
  </si>
  <si>
    <t>RIGL US</t>
  </si>
  <si>
    <t>Biotechnology</t>
  </si>
  <si>
    <t>AFOP US Equity</t>
  </si>
  <si>
    <t>ALLIANCE FIBER OPTIC PRODUCT</t>
  </si>
  <si>
    <t>11/21/2000</t>
  </si>
  <si>
    <t>AFOP US</t>
  </si>
  <si>
    <t>DNCR US Equity</t>
  </si>
  <si>
    <t>DYNACARE INC</t>
  </si>
  <si>
    <t>11/17/2000</t>
  </si>
  <si>
    <t>DNCR US</t>
  </si>
  <si>
    <t>1832555D US Equity</t>
  </si>
  <si>
    <t>ARRAY BIOPHARMA INC</t>
  </si>
  <si>
    <t>1832555D US</t>
  </si>
  <si>
    <t>BCONQ US Equity</t>
  </si>
  <si>
    <t>BEACON POWER CORPORATION</t>
  </si>
  <si>
    <t>BCONQ US</t>
  </si>
  <si>
    <t>EME US Equity</t>
  </si>
  <si>
    <t>EMCOR GROUP INC</t>
  </si>
  <si>
    <t>11/16/2000</t>
  </si>
  <si>
    <t>EME US</t>
  </si>
  <si>
    <t>Construction &amp; Engineering</t>
  </si>
  <si>
    <t>MIFI US Equity</t>
  </si>
  <si>
    <t>INSEEGO WIRELESS INC</t>
  </si>
  <si>
    <t>MIFI US</t>
  </si>
  <si>
    <t>3293866Q US Equity</t>
  </si>
  <si>
    <t>ORION POWER HOLDINGS INC</t>
  </si>
  <si>
    <t>11/14/2000</t>
  </si>
  <si>
    <t>3293866Q US</t>
  </si>
  <si>
    <t>ADLR US Equity</t>
  </si>
  <si>
    <t>ADOLOR CORPORATION</t>
  </si>
  <si>
    <t>ADLR US</t>
  </si>
  <si>
    <t>FLBC US Equity</t>
  </si>
  <si>
    <t>FINGER LAKES BANCORP INC</t>
  </si>
  <si>
    <t>FLBC US</t>
  </si>
  <si>
    <t>0355864Q US Equity</t>
  </si>
  <si>
    <t>AEROGEN INC</t>
  </si>
  <si>
    <t>11/10/2000</t>
  </si>
  <si>
    <t>0355864Q US</t>
  </si>
  <si>
    <t>LMNE US Equity</t>
  </si>
  <si>
    <t>LUMINENT INC</t>
  </si>
  <si>
    <t>LMNE US</t>
  </si>
  <si>
    <t>CATZ US Equity</t>
  </si>
  <si>
    <t>COMPUTER ACCESS TECHNOLOGY</t>
  </si>
  <si>
    <t>CATZ US</t>
  </si>
  <si>
    <t>GORXQ US Equity</t>
  </si>
  <si>
    <t>GEOPHARMA INC</t>
  </si>
  <si>
    <t>11/07/2000</t>
  </si>
  <si>
    <t>GORXQ US</t>
  </si>
  <si>
    <t>TMTA US Equity</t>
  </si>
  <si>
    <t>TRANSMETA CORP</t>
  </si>
  <si>
    <t>11/06/2000</t>
  </si>
  <si>
    <t>TMTA US</t>
  </si>
  <si>
    <t>OCPI US Equity</t>
  </si>
  <si>
    <t>OPTICAL COMMUNICATION PROD</t>
  </si>
  <si>
    <t>11/03/2000</t>
  </si>
  <si>
    <t>OCPI US</t>
  </si>
  <si>
    <t>UTIW US Equity</t>
  </si>
  <si>
    <t>UTI WORLDWIDE INC</t>
  </si>
  <si>
    <t>11/02/2000</t>
  </si>
  <si>
    <t>UTIW US</t>
  </si>
  <si>
    <t>ERPLQ US Equity</t>
  </si>
  <si>
    <t>ENERGY PARTNERS LTD-OLD</t>
  </si>
  <si>
    <t>ERPLQ US</t>
  </si>
  <si>
    <t>BKMU US Equity</t>
  </si>
  <si>
    <t>BANK MUTUAL CORP</t>
  </si>
  <si>
    <t>BKMU US</t>
  </si>
  <si>
    <t>ESLRQ US Equity</t>
  </si>
  <si>
    <t>EVERGREEN SOLAR INC</t>
  </si>
  <si>
    <t>11/01/2000</t>
  </si>
  <si>
    <t>ESLRQ US</t>
  </si>
  <si>
    <t>2573872D US Equity</t>
  </si>
  <si>
    <t>DEVX ENERGY INC</t>
  </si>
  <si>
    <t>10/27/2000</t>
  </si>
  <si>
    <t>2573872D US</t>
  </si>
  <si>
    <t>2237931Q US Equity</t>
  </si>
  <si>
    <t>MEDICHEM LIFE SCIENCES INC</t>
  </si>
  <si>
    <t>10/26/2000</t>
  </si>
  <si>
    <t>2237931Q US</t>
  </si>
  <si>
    <t>INNI US Equity</t>
  </si>
  <si>
    <t>INNOVARO INC</t>
  </si>
  <si>
    <t>10/24/2000</t>
  </si>
  <si>
    <t>INNI US</t>
  </si>
  <si>
    <t>1865574D US Equity</t>
  </si>
  <si>
    <t>FIRST SHARES BANCORP INC/IN</t>
  </si>
  <si>
    <t>1865574D US</t>
  </si>
  <si>
    <t>649848Q US Equity</t>
  </si>
  <si>
    <t>WESTPORT RESOURCES CORP</t>
  </si>
  <si>
    <t>10/19/2000</t>
  </si>
  <si>
    <t>649848Q US</t>
  </si>
  <si>
    <t>1856613D US Equity</t>
  </si>
  <si>
    <t>MONSANTO CO</t>
  </si>
  <si>
    <t>10/18/2000</t>
  </si>
  <si>
    <t>1856613D US</t>
  </si>
  <si>
    <t>XXIA US Equity</t>
  </si>
  <si>
    <t>IXIA</t>
  </si>
  <si>
    <t>XXIA US</t>
  </si>
  <si>
    <t>ENWV US Equity</t>
  </si>
  <si>
    <t>ENDWAVE CORP</t>
  </si>
  <si>
    <t>10/17/2000</t>
  </si>
  <si>
    <t>ENWV US</t>
  </si>
  <si>
    <t>INGNQ US Equity</t>
  </si>
  <si>
    <t>INTROGEN THERAPEUTICS INC</t>
  </si>
  <si>
    <t>10/12/2000</t>
  </si>
  <si>
    <t>INGNQ US</t>
  </si>
  <si>
    <t>SYNP US Equity</t>
  </si>
  <si>
    <t>SYNPLICITY INC</t>
  </si>
  <si>
    <t>SYNP US</t>
  </si>
  <si>
    <t>WHQA US Equity</t>
  </si>
  <si>
    <t>W-H ENERGY SERVICES INC</t>
  </si>
  <si>
    <t>10/11/2000</t>
  </si>
  <si>
    <t>WHQA US</t>
  </si>
  <si>
    <t>PDGI US Equity</t>
  </si>
  <si>
    <t>SYNEOS HEALTH CLINICAL INC</t>
  </si>
  <si>
    <t>PDGI US</t>
  </si>
  <si>
    <t>1702253D US Equity</t>
  </si>
  <si>
    <t>TOWERS WATSON &amp; CO-CL A</t>
  </si>
  <si>
    <t>1702253D US</t>
  </si>
  <si>
    <t>POZN US Equity</t>
  </si>
  <si>
    <t>POZEN INC</t>
  </si>
  <si>
    <t>POZN US</t>
  </si>
  <si>
    <t>BBDA US Equity</t>
  </si>
  <si>
    <t>BEBIDA BEVERAGE CO</t>
  </si>
  <si>
    <t>10/06/2000</t>
  </si>
  <si>
    <t>BBDA US</t>
  </si>
  <si>
    <t>Consumer Staples</t>
  </si>
  <si>
    <t>Beverages</t>
  </si>
  <si>
    <t>Soft Drinks &amp; Non-alcoholic Beverages</t>
  </si>
  <si>
    <t>TPR US Equity</t>
  </si>
  <si>
    <t>TAPESTRY INC</t>
  </si>
  <si>
    <t>10/05/2000</t>
  </si>
  <si>
    <t>TPR US</t>
  </si>
  <si>
    <t>Consumer Discretionary</t>
  </si>
  <si>
    <t>Textiles, Apparel &amp; Luxury Goods</t>
  </si>
  <si>
    <t>Apparel, Accessories &amp; Luxury Goods</t>
  </si>
  <si>
    <t>NWPWQ US Equity</t>
  </si>
  <si>
    <t>NEWPOWER HOLDINGS INC</t>
  </si>
  <si>
    <t>NWPWQ US</t>
  </si>
  <si>
    <t>KOSN US Equity</t>
  </si>
  <si>
    <t>KOSAN BIOSCIENCES INC</t>
  </si>
  <si>
    <t>10/04/2000</t>
  </si>
  <si>
    <t>KOSN US</t>
  </si>
  <si>
    <t>ASCXZ US Equity</t>
  </si>
  <si>
    <t>ADVANCED SWITCHING COMM INC</t>
  </si>
  <si>
    <t>ASCXZ US</t>
  </si>
  <si>
    <t>OPLK US Equity</t>
  </si>
  <si>
    <t>OPLINK COMMUNICATIONS INC</t>
  </si>
  <si>
    <t>OPLK US</t>
  </si>
  <si>
    <t>1088161D SW Equity</t>
  </si>
  <si>
    <t>INVENDA CORP-REG</t>
  </si>
  <si>
    <t>10/03/2000</t>
  </si>
  <si>
    <t>1088161D SW</t>
  </si>
  <si>
    <t>INMX US Equity</t>
  </si>
  <si>
    <t>INFORMAX INC</t>
  </si>
  <si>
    <t>INMX US</t>
  </si>
  <si>
    <t>2460344D US Equity</t>
  </si>
  <si>
    <t>HGST TECHNOLOGIES SANTA ANA</t>
  </si>
  <si>
    <t>09/29/2000</t>
  </si>
  <si>
    <t>2460344D US</t>
  </si>
  <si>
    <t>ARDI US Equity</t>
  </si>
  <si>
    <t>@ROAD INC</t>
  </si>
  <si>
    <t>ARDI US</t>
  </si>
  <si>
    <t>VRMLQ US Equity</t>
  </si>
  <si>
    <t>VERMILLION INC-OLD</t>
  </si>
  <si>
    <t>VRMLQ US</t>
  </si>
  <si>
    <t>502462Q US Equity</t>
  </si>
  <si>
    <t>DOCENT INC</t>
  </si>
  <si>
    <t>502462Q US</t>
  </si>
  <si>
    <t>DESCQ US Equity</t>
  </si>
  <si>
    <t>DISTRIBUTED ENERGY SYSTEMS</t>
  </si>
  <si>
    <t>DESCQ US</t>
  </si>
  <si>
    <t>3714927Q US Equity</t>
  </si>
  <si>
    <t>GENOMICA CORP</t>
  </si>
  <si>
    <t>3714927Q US</t>
  </si>
  <si>
    <t>ITGR US Equity</t>
  </si>
  <si>
    <t>INTEGER HOLDINGS CORP</t>
  </si>
  <si>
    <t>ITGR US</t>
  </si>
  <si>
    <t>Health Care Equipment &amp; Supplies</t>
  </si>
  <si>
    <t>Health Care Equipment</t>
  </si>
  <si>
    <t>ELAS US Equity</t>
  </si>
  <si>
    <t>ELASTIC NETWORKS INC</t>
  </si>
  <si>
    <t>09/28/2000</t>
  </si>
  <si>
    <t>ELAS US</t>
  </si>
  <si>
    <t>DRRX US Equity</t>
  </si>
  <si>
    <t>DURECT CORPORATION</t>
  </si>
  <si>
    <t>DRRX US</t>
  </si>
  <si>
    <t>UOPX US Equity</t>
  </si>
  <si>
    <t>UNIVERSITY OF PHOENIX ONLINE</t>
  </si>
  <si>
    <t>UOPX US</t>
  </si>
  <si>
    <t>668718Q US Equity</t>
  </si>
  <si>
    <t>AVANTGO INC</t>
  </si>
  <si>
    <t>09/27/2000</t>
  </si>
  <si>
    <t>668718Q US</t>
  </si>
  <si>
    <t>MIRKQ US Equity</t>
  </si>
  <si>
    <t>MIRANT CORP-OLD</t>
  </si>
  <si>
    <t>MIRKQ US</t>
  </si>
  <si>
    <t>VAST US Equity</t>
  </si>
  <si>
    <t>LIVINGSTON INTERNATIONAL TEC</t>
  </si>
  <si>
    <t>VAST US</t>
  </si>
  <si>
    <t>0120599D US Equity</t>
  </si>
  <si>
    <t>EDEN BIOSCIENCE CORP</t>
  </si>
  <si>
    <t>0120599D US</t>
  </si>
  <si>
    <t>HYDL US Equity</t>
  </si>
  <si>
    <t>HYDRIL CO</t>
  </si>
  <si>
    <t>09/26/2000</t>
  </si>
  <si>
    <t>HYDL US</t>
  </si>
  <si>
    <t>COSN US Equity</t>
  </si>
  <si>
    <t>COSINE COMMUNICATIONS INC</t>
  </si>
  <si>
    <t>09/25/2000</t>
  </si>
  <si>
    <t>COSN US</t>
  </si>
  <si>
    <t>CRNM US Equity</t>
  </si>
  <si>
    <t>CURON MEDICAL INC</t>
  </si>
  <si>
    <t>09/22/2000</t>
  </si>
  <si>
    <t>CRNM US</t>
  </si>
  <si>
    <t>INRG US Equity</t>
  </si>
  <si>
    <t>INRANGE TECHNOLOGIES-CL B</t>
  </si>
  <si>
    <t>INRG US</t>
  </si>
  <si>
    <t>1389976D US Equity</t>
  </si>
  <si>
    <t>CBCT BANCSHARES INC</t>
  </si>
  <si>
    <t>09/21/2000</t>
  </si>
  <si>
    <t>1389976D US</t>
  </si>
  <si>
    <t>TTMI US Equity</t>
  </si>
  <si>
    <t>TTM TECHNOLOGIES</t>
  </si>
  <si>
    <t>TTMI US</t>
  </si>
  <si>
    <t>Information Technology</t>
  </si>
  <si>
    <t>Electronic Equipment, Instruments &amp; Components</t>
  </si>
  <si>
    <t>Electronic Manufacturing Services</t>
  </si>
  <si>
    <t>ZNGN US Equity</t>
  </si>
  <si>
    <t>ZENGINE INC</t>
  </si>
  <si>
    <t>ZNGN US</t>
  </si>
  <si>
    <t>OMNY US Equity</t>
  </si>
  <si>
    <t>OMNISKY CORP</t>
  </si>
  <si>
    <t>OMNY US</t>
  </si>
  <si>
    <t>COD US Equity</t>
  </si>
  <si>
    <t>CHILES OFFSHORE INC</t>
  </si>
  <si>
    <t>09/19/2000</t>
  </si>
  <si>
    <t>COD US</t>
  </si>
  <si>
    <t>KNVS US Equity</t>
  </si>
  <si>
    <t>KNOVA SOFTWARE INC</t>
  </si>
  <si>
    <t>08/25/2000</t>
  </si>
  <si>
    <t>KNVS US</t>
  </si>
  <si>
    <t>ISTA US Equity</t>
  </si>
  <si>
    <t>ISTA PHARMACEUTICALS LLC</t>
  </si>
  <si>
    <t>08/22/2000</t>
  </si>
  <si>
    <t>ISTA US</t>
  </si>
  <si>
    <t>ITXIQ US Equity</t>
  </si>
  <si>
    <t>INTEGRATED TELECOM EXPRESS</t>
  </si>
  <si>
    <t>08/18/2000</t>
  </si>
  <si>
    <t>ITXIQ US</t>
  </si>
  <si>
    <t>VVVVQ US Equity</t>
  </si>
  <si>
    <t>VIASOURCE COMMUNICATIONS</t>
  </si>
  <si>
    <t>VVVVQ US</t>
  </si>
  <si>
    <t>1936438D US Equity</t>
  </si>
  <si>
    <t>PECO II INC</t>
  </si>
  <si>
    <t>1936438D US</t>
  </si>
  <si>
    <t>WJCI US Equity</t>
  </si>
  <si>
    <t>TRIQUINT WJ INC</t>
  </si>
  <si>
    <t>WJCI US</t>
  </si>
  <si>
    <t>9998819D US Equity</t>
  </si>
  <si>
    <t>PINNACLE FINANCIAL PARTNERS</t>
  </si>
  <si>
    <t>08/17/2000</t>
  </si>
  <si>
    <t>9998819D US</t>
  </si>
  <si>
    <t>AVSR US Equity</t>
  </si>
  <si>
    <t>AVISTAR COMMUNICATIONS CORP</t>
  </si>
  <si>
    <t>AVSR US</t>
  </si>
  <si>
    <t>Communications Equipment</t>
  </si>
  <si>
    <t>3679840Q US Equity</t>
  </si>
  <si>
    <t>PEOPLEPC INC</t>
  </si>
  <si>
    <t>08/16/2000</t>
  </si>
  <si>
    <t>3679840Q US</t>
  </si>
  <si>
    <t>OTWO US Equity</t>
  </si>
  <si>
    <t>O2WIRELESS SOLUTIONS, INC.</t>
  </si>
  <si>
    <t>OTWO US</t>
  </si>
  <si>
    <t>DYAX US Equity</t>
  </si>
  <si>
    <t>DYAX CORP</t>
  </si>
  <si>
    <t>08/15/2000</t>
  </si>
  <si>
    <t>DYAX US</t>
  </si>
  <si>
    <t>LEXR US Equity</t>
  </si>
  <si>
    <t>LEXAR MEDIA INC</t>
  </si>
  <si>
    <t>LEXR US</t>
  </si>
  <si>
    <t>1016061Q US Equity</t>
  </si>
  <si>
    <t>VIEWLOCITY INC</t>
  </si>
  <si>
    <t>1016061Q US</t>
  </si>
  <si>
    <t>EQIX US Equity</t>
  </si>
  <si>
    <t>EQUINIX INC</t>
  </si>
  <si>
    <t>08/11/2000</t>
  </si>
  <si>
    <t>EQIX US</t>
  </si>
  <si>
    <t>Real Estate</t>
  </si>
  <si>
    <t>Specialized REITs</t>
  </si>
  <si>
    <t>Data Center REITs</t>
  </si>
  <si>
    <t>MBVXQ US Equity</t>
  </si>
  <si>
    <t>MABVAX THERAPEUTICS HOLDINGS</t>
  </si>
  <si>
    <t>MBVXQ US</t>
  </si>
  <si>
    <t>173150Q US Equity</t>
  </si>
  <si>
    <t>EQUINIX INC/OLD</t>
  </si>
  <si>
    <t>173150Q US</t>
  </si>
  <si>
    <t>AMMD US Equity</t>
  </si>
  <si>
    <t>ASTORA WOMEN'S HEALTH HOLDIN</t>
  </si>
  <si>
    <t>AMMD US</t>
  </si>
  <si>
    <t>EVLVQ US Equity</t>
  </si>
  <si>
    <t>EVOLVE SOFTWARE INC</t>
  </si>
  <si>
    <t>08/10/2000</t>
  </si>
  <si>
    <t>EVLVQ US</t>
  </si>
  <si>
    <t>SRGAQ US Equity</t>
  </si>
  <si>
    <t>SURGALIGN HOLDINGS INC</t>
  </si>
  <si>
    <t>SRGAQ US</t>
  </si>
  <si>
    <t>LSBC US Equity</t>
  </si>
  <si>
    <t>LARGE SCALE BIOLOGY CORP</t>
  </si>
  <si>
    <t>LSBC US</t>
  </si>
  <si>
    <t>VINA US Equity</t>
  </si>
  <si>
    <t>VINA TECHNOLOGIES INC</t>
  </si>
  <si>
    <t>VINA US</t>
  </si>
  <si>
    <t>0778324D US Equity</t>
  </si>
  <si>
    <t>ESPERION THERAPEUTICS INC/OL</t>
  </si>
  <si>
    <t>0778324D US</t>
  </si>
  <si>
    <t>3042466Q US Equity</t>
  </si>
  <si>
    <t>CHIPPAC INC-A</t>
  </si>
  <si>
    <t>08/09/2000</t>
  </si>
  <si>
    <t>3042466Q US</t>
  </si>
  <si>
    <t>AGIXQ US Equity</t>
  </si>
  <si>
    <t>ATHEROGENICS INC</t>
  </si>
  <si>
    <t>AGIXQ US</t>
  </si>
  <si>
    <t>HPOW US Equity</t>
  </si>
  <si>
    <t>H POWER CORP</t>
  </si>
  <si>
    <t>HPOW US</t>
  </si>
  <si>
    <t>RPTR US Equity</t>
  </si>
  <si>
    <t>REPEATER TECHNOLOGIES INC</t>
  </si>
  <si>
    <t>RPTR US</t>
  </si>
  <si>
    <t>PHST US Equity</t>
  </si>
  <si>
    <t>PHARSIGHT CORP</t>
  </si>
  <si>
    <t>PHST US</t>
  </si>
  <si>
    <t>MCELQ US Equity</t>
  </si>
  <si>
    <t>MILLENNIUM CELL INC</t>
  </si>
  <si>
    <t>MCELQ US</t>
  </si>
  <si>
    <t>1530827D US Equity</t>
  </si>
  <si>
    <t>TVIA INC</t>
  </si>
  <si>
    <t>1530827D US</t>
  </si>
  <si>
    <t>MDCO US Equity</t>
  </si>
  <si>
    <t>MEDICINES COMPANY</t>
  </si>
  <si>
    <t>08/08/2000</t>
  </si>
  <si>
    <t>MDCO US</t>
  </si>
  <si>
    <t>2576365D US Equity</t>
  </si>
  <si>
    <t>PEMSTAR INC</t>
  </si>
  <si>
    <t>2576365D US</t>
  </si>
  <si>
    <t>AOLAQ US Equity</t>
  </si>
  <si>
    <t>AMERICA ONLINE LATIN AMER-A</t>
  </si>
  <si>
    <t>AOLAQ US</t>
  </si>
  <si>
    <t>TSYS US Equity</t>
  </si>
  <si>
    <t>TELECOMMUNICATION SYSTEMS-A</t>
  </si>
  <si>
    <t>TSYS US</t>
  </si>
  <si>
    <t>2245546Q US Equity</t>
  </si>
  <si>
    <t>ADVANCED POWER TECHNOLOG INC</t>
  </si>
  <si>
    <t>2245546Q US</t>
  </si>
  <si>
    <t>2282710D US Equity</t>
  </si>
  <si>
    <t>MICROTUNE INC</t>
  </si>
  <si>
    <t>08/04/2000</t>
  </si>
  <si>
    <t>2282710D US</t>
  </si>
  <si>
    <t>BRKR US Equity</t>
  </si>
  <si>
    <t>BRUKER CORP</t>
  </si>
  <si>
    <t>BRKR US</t>
  </si>
  <si>
    <t>ISSC US Equity</t>
  </si>
  <si>
    <t>INNOVATIVE SOLUTIONS &amp; SUPP</t>
  </si>
  <si>
    <t>ISSC US</t>
  </si>
  <si>
    <t>Aerospace &amp; Defense</t>
  </si>
  <si>
    <t>LTRX US Equity</t>
  </si>
  <si>
    <t>LANTRONIX INC</t>
  </si>
  <si>
    <t>LTRX US</t>
  </si>
  <si>
    <t>DDDP US Equity</t>
  </si>
  <si>
    <t>3 DIMENSIONAL PHARMACEUTICAL</t>
  </si>
  <si>
    <t>DDDP US</t>
  </si>
  <si>
    <t>EXEE US Equity</t>
  </si>
  <si>
    <t>EXE TECHNOLOGIES LLC</t>
  </si>
  <si>
    <t>08/03/2000</t>
  </si>
  <si>
    <t>EXEE US</t>
  </si>
  <si>
    <t>355676Q US Equity</t>
  </si>
  <si>
    <t>ROSETTA INPHARMATICS</t>
  </si>
  <si>
    <t>355676Q US</t>
  </si>
  <si>
    <t>RSNT US Equity</t>
  </si>
  <si>
    <t>RESONATE INC</t>
  </si>
  <si>
    <t>RSNT US</t>
  </si>
  <si>
    <t>ISPH US Equity</t>
  </si>
  <si>
    <t>INSPIRE PHARMACEUTICALS INC</t>
  </si>
  <si>
    <t>ISPH US</t>
  </si>
  <si>
    <t>MICU US Equity</t>
  </si>
  <si>
    <t>VICURON PHARMACEUTICALS INC</t>
  </si>
  <si>
    <t>MICU US</t>
  </si>
  <si>
    <t>SGSF US Equity</t>
  </si>
  <si>
    <t>SIGNALSOFT CORP</t>
  </si>
  <si>
    <t>SGSF US</t>
  </si>
  <si>
    <t>380406Q US Equity</t>
  </si>
  <si>
    <t>PINNACOR INC</t>
  </si>
  <si>
    <t>380406Q US</t>
  </si>
  <si>
    <t>ERMS US Equity</t>
  </si>
  <si>
    <t>EROOM SYSTEM TECHNOLOGIES</t>
  </si>
  <si>
    <t>ERMS US</t>
  </si>
  <si>
    <t>IAWK US Equity</t>
  </si>
  <si>
    <t>IASIAWORKS INC</t>
  </si>
  <si>
    <t>IAWK US</t>
  </si>
  <si>
    <t>DGEN US Equity</t>
  </si>
  <si>
    <t>DELTAGEN INC</t>
  </si>
  <si>
    <t>DGEN US</t>
  </si>
  <si>
    <t>CPKI US Equity</t>
  </si>
  <si>
    <t>CALIFORNIA PIZZA KITCHEN INC</t>
  </si>
  <si>
    <t>08/02/2000</t>
  </si>
  <si>
    <t>CPKI US</t>
  </si>
  <si>
    <t>GNSC US Equity</t>
  </si>
  <si>
    <t>GENAISSANCE PHARMACEUTICALS</t>
  </si>
  <si>
    <t>GNSC US</t>
  </si>
  <si>
    <t>1384851D US Equity</t>
  </si>
  <si>
    <t>OPNET TECHNOLOGIES INC</t>
  </si>
  <si>
    <t>1384851D US</t>
  </si>
  <si>
    <t>EVC US Equity</t>
  </si>
  <si>
    <t>ENTRAVISION COMMUNICATIONS-A</t>
  </si>
  <si>
    <t>EVC US</t>
  </si>
  <si>
    <t>Communication Services</t>
  </si>
  <si>
    <t>Media</t>
  </si>
  <si>
    <t>Broadcasting</t>
  </si>
  <si>
    <t>SPWX US Equity</t>
  </si>
  <si>
    <t>SPEECHWORKS INTERNATIONAL</t>
  </si>
  <si>
    <t>08/01/2000</t>
  </si>
  <si>
    <t>SPWX US</t>
  </si>
  <si>
    <t>PROXQ US Equity</t>
  </si>
  <si>
    <t>PROXIM CORP-CL A</t>
  </si>
  <si>
    <t>PROXQ US</t>
  </si>
  <si>
    <t>CDWD US Equity</t>
  </si>
  <si>
    <t>CLOUDWARD INC</t>
  </si>
  <si>
    <t>CDWD US</t>
  </si>
  <si>
    <t>VIRL US Equity</t>
  </si>
  <si>
    <t>VIRAGE LOGIC CORPORATION</t>
  </si>
  <si>
    <t>VIRL US</t>
  </si>
  <si>
    <t>CVGP US Equity</t>
  </si>
  <si>
    <t>CONVERGENT GROUP CORP</t>
  </si>
  <si>
    <t>CVGP US</t>
  </si>
  <si>
    <t>PUBB US Equity</t>
  </si>
  <si>
    <t>PACIFIC UNION BANK</t>
  </si>
  <si>
    <t>PUBB US</t>
  </si>
  <si>
    <t>ILMN US Equity</t>
  </si>
  <si>
    <t>ILLUMINA INC</t>
  </si>
  <si>
    <t>07/28/2000</t>
  </si>
  <si>
    <t>ILMN US</t>
  </si>
  <si>
    <t>BWNG US Equity</t>
  </si>
  <si>
    <t>BROADWING CORP</t>
  </si>
  <si>
    <t>BWNG US</t>
  </si>
  <si>
    <t>LXNT US Equity</t>
  </si>
  <si>
    <t>LEXENT INC</t>
  </si>
  <si>
    <t>LXNT US</t>
  </si>
  <si>
    <t>SOAP US Equity</t>
  </si>
  <si>
    <t>SOAPSTONE NETWORKS INC</t>
  </si>
  <si>
    <t>SOAP US</t>
  </si>
  <si>
    <t>1813314D US Equity</t>
  </si>
  <si>
    <t>DANISCO US INC/CALIFORNIA</t>
  </si>
  <si>
    <t>1813314D US</t>
  </si>
  <si>
    <t>VLCT US Equity</t>
  </si>
  <si>
    <t>VALICERT INC</t>
  </si>
  <si>
    <t>VLCT US</t>
  </si>
  <si>
    <t>ARNA US Equity</t>
  </si>
  <si>
    <t>ARENA PHARMACEUTICALS INC</t>
  </si>
  <si>
    <t>ARNA US</t>
  </si>
  <si>
    <t>2658603D US Equity</t>
  </si>
  <si>
    <t>CISCO WEBEX LLC</t>
  </si>
  <si>
    <t>2658603D US</t>
  </si>
  <si>
    <t>KERX US Equity</t>
  </si>
  <si>
    <t>KERYX BIOPHARMACEUTICALS</t>
  </si>
  <si>
    <t>KERX US</t>
  </si>
  <si>
    <t>INFIQ US Equity</t>
  </si>
  <si>
    <t>INFINITY PHARMACEUTICALS INC</t>
  </si>
  <si>
    <t>07/27/2000</t>
  </si>
  <si>
    <t>INFIQ US</t>
  </si>
  <si>
    <t>1948550D US Equity</t>
  </si>
  <si>
    <t>RITA MEDICAL SYSTEMS INC</t>
  </si>
  <si>
    <t>1948550D US</t>
  </si>
  <si>
    <t>AMEV US Equity</t>
  </si>
  <si>
    <t>APPLIED MOLECULAR EVOLUTION</t>
  </si>
  <si>
    <t>AMEV US</t>
  </si>
  <si>
    <t>2065469D US Equity</t>
  </si>
  <si>
    <t>MAINSPRING INC</t>
  </si>
  <si>
    <t>07/26/2000</t>
  </si>
  <si>
    <t>2065469D US</t>
  </si>
  <si>
    <t>723068Q US Equity</t>
  </si>
  <si>
    <t>BLUE MARTINI SOFTWARE INC</t>
  </si>
  <si>
    <t>07/25/2000</t>
  </si>
  <si>
    <t>723068Q US</t>
  </si>
  <si>
    <t>RNDC US Equity</t>
  </si>
  <si>
    <t>RAINDANCE COMMUNICATIONS INC</t>
  </si>
  <si>
    <t>RNDC US</t>
  </si>
  <si>
    <t>ILND US Equity</t>
  </si>
  <si>
    <t>INTERLAND INC/OLD</t>
  </si>
  <si>
    <t>ILND US</t>
  </si>
  <si>
    <t>SMTX US Equity</t>
  </si>
  <si>
    <t>SMTC CORPORATION</t>
  </si>
  <si>
    <t>07/21/2000</t>
  </si>
  <si>
    <t>SMTX US</t>
  </si>
  <si>
    <t>VGNX US Equity</t>
  </si>
  <si>
    <t>VARIAGENICS INC</t>
  </si>
  <si>
    <t>VGNX US</t>
  </si>
  <si>
    <t>0820558D US Equity</t>
  </si>
  <si>
    <t>TALARIAN CORP</t>
  </si>
  <si>
    <t>0820558D US</t>
  </si>
  <si>
    <t>CRIO US Equity</t>
  </si>
  <si>
    <t>CORIO INC</t>
  </si>
  <si>
    <t>07/20/2000</t>
  </si>
  <si>
    <t>CRIO US</t>
  </si>
  <si>
    <t>2554116D US Equity</t>
  </si>
  <si>
    <t>AIRSPAN NETWORKS INC</t>
  </si>
  <si>
    <t>2554116D US</t>
  </si>
  <si>
    <t>SPRT US Equity</t>
  </si>
  <si>
    <t>SUPPORT.COM INC</t>
  </si>
  <si>
    <t>07/19/2000</t>
  </si>
  <si>
    <t>SPRT US</t>
  </si>
  <si>
    <t>2654683D US Equity</t>
  </si>
  <si>
    <t>ARGONAUT TECHNOLOGIES INC</t>
  </si>
  <si>
    <t>2654683D US</t>
  </si>
  <si>
    <t>VASC US Equity</t>
  </si>
  <si>
    <t>VASCULAR SOLUTIONS INC</t>
  </si>
  <si>
    <t>VASC US</t>
  </si>
  <si>
    <t>PRPO US Equity</t>
  </si>
  <si>
    <t>PRECIPIO INC</t>
  </si>
  <si>
    <t>07/18/2000</t>
  </si>
  <si>
    <t>PRPO US</t>
  </si>
  <si>
    <t>Health Care Providers &amp; Services</t>
  </si>
  <si>
    <t>Health Care Services</t>
  </si>
  <si>
    <t>TXN LN Equity</t>
  </si>
  <si>
    <t>TRANXENOGEN INC</t>
  </si>
  <si>
    <t>TXN LN</t>
  </si>
  <si>
    <t>OVTI US Equity</t>
  </si>
  <si>
    <t>OMNIVISION TECHNOLOGIES INC</t>
  </si>
  <si>
    <t>07/14/2000</t>
  </si>
  <si>
    <t>OVTI US</t>
  </si>
  <si>
    <t>FLNA US Equity</t>
  </si>
  <si>
    <t>FILANA THERAPEUTICS INC</t>
  </si>
  <si>
    <t>FLNA US</t>
  </si>
  <si>
    <t>Pharmaceuticals</t>
  </si>
  <si>
    <t>NEI US Equity</t>
  </si>
  <si>
    <t>UNICOM ENGINEERING INC</t>
  </si>
  <si>
    <t>07/13/2000</t>
  </si>
  <si>
    <t>NEI US</t>
  </si>
  <si>
    <t>TNSIZ US Equity</t>
  </si>
  <si>
    <t>TRITON NETWORK SYSTE-DUE BIL</t>
  </si>
  <si>
    <t>TNSIZ US</t>
  </si>
  <si>
    <t>SRTI US Equity</t>
  </si>
  <si>
    <t>SRTI BLOCKCHAIN GENERATION I</t>
  </si>
  <si>
    <t>SRTI US</t>
  </si>
  <si>
    <t>IMNY US Equity</t>
  </si>
  <si>
    <t>REVITAS INC</t>
  </si>
  <si>
    <t>IMNY US</t>
  </si>
  <si>
    <t>9991111D CN Equity</t>
  </si>
  <si>
    <t>MAXAR TECHNOLOGIES LTD</t>
  </si>
  <si>
    <t>07/12/2000</t>
  </si>
  <si>
    <t>9991111D CN</t>
  </si>
  <si>
    <t>ACLS US Equity</t>
  </si>
  <si>
    <t>AXCELIS TECHNOLOGIES INC</t>
  </si>
  <si>
    <t>07/11/2000</t>
  </si>
  <si>
    <t>ACLS US</t>
  </si>
  <si>
    <t>Semiconductors &amp; Semiconductor Equipment</t>
  </si>
  <si>
    <t>Semiconductor Materials &amp; Equipment</t>
  </si>
  <si>
    <t>DVINQ US Equity</t>
  </si>
  <si>
    <t>DIVINE INC-A</t>
  </si>
  <si>
    <t>DVINQ US</t>
  </si>
  <si>
    <t>ENTG US Equity</t>
  </si>
  <si>
    <t>ENTEGRIS INC</t>
  </si>
  <si>
    <t>07/10/2000</t>
  </si>
  <si>
    <t>ENTG US</t>
  </si>
  <si>
    <t>WAYS US Equity</t>
  </si>
  <si>
    <t>WAVE SYNC CORP</t>
  </si>
  <si>
    <t>07/04/2000</t>
  </si>
  <si>
    <t>WAYS US</t>
  </si>
  <si>
    <t>Real Estate Management &amp; Development</t>
  </si>
  <si>
    <t>Real Estate Operating Companies</t>
  </si>
  <si>
    <t>IGOI US Equity</t>
  </si>
  <si>
    <t>IGO INC</t>
  </si>
  <si>
    <t>06/30/2000</t>
  </si>
  <si>
    <t>IGOI US</t>
  </si>
  <si>
    <t>1121454D US Equity</t>
  </si>
  <si>
    <t>STORAGENETWORKS INC</t>
  </si>
  <si>
    <t>06/29/2000</t>
  </si>
  <si>
    <t>1121454D US</t>
  </si>
  <si>
    <t>2230247Q US Equity</t>
  </si>
  <si>
    <t>VIRAGE INC</t>
  </si>
  <si>
    <t>2230247Q US</t>
  </si>
  <si>
    <t>CGRNQ US Equity</t>
  </si>
  <si>
    <t>CAPSTONE GREEN ENERGY CORP</t>
  </si>
  <si>
    <t>CGRNQ US</t>
  </si>
  <si>
    <t>378377Q US Equity</t>
  </si>
  <si>
    <t>CARESCIENCE INC</t>
  </si>
  <si>
    <t>378377Q US</t>
  </si>
  <si>
    <t>BBT US Equity</t>
  </si>
  <si>
    <t>BEACON FINANCIAL CORP</t>
  </si>
  <si>
    <t>06/28/2000</t>
  </si>
  <si>
    <t>BBT US</t>
  </si>
  <si>
    <t>Financials</t>
  </si>
  <si>
    <t>Banks</t>
  </si>
  <si>
    <t>Regional Banks</t>
  </si>
  <si>
    <t>GENUQ US Equity</t>
  </si>
  <si>
    <t>GENUITY INC-A</t>
  </si>
  <si>
    <t>GENUQ US</t>
  </si>
  <si>
    <t>9995577D US Equity</t>
  </si>
  <si>
    <t>MARVELL TECHNOLOGY GROUP LTD</t>
  </si>
  <si>
    <t>06/27/2000</t>
  </si>
  <si>
    <t>9995577D US</t>
  </si>
  <si>
    <t>2987544Q US Equity</t>
  </si>
  <si>
    <t>EFUNDS CORP</t>
  </si>
  <si>
    <t>2987544Q US</t>
  </si>
  <si>
    <t>STLW US Equity</t>
  </si>
  <si>
    <t>STRATOS INTERNATIONAL LLC</t>
  </si>
  <si>
    <t>STLW US</t>
  </si>
  <si>
    <t>CKCM US Equity</t>
  </si>
  <si>
    <t>CLICK COMMERCE INC</t>
  </si>
  <si>
    <t>CKCM US</t>
  </si>
  <si>
    <t>BUSY US Equity</t>
  </si>
  <si>
    <t>BUSYBOX.COM</t>
  </si>
  <si>
    <t>06/26/2000</t>
  </si>
  <si>
    <t>BUSY US</t>
  </si>
  <si>
    <t>OCNW US Equity</t>
  </si>
  <si>
    <t>OCCAM NETWORKS INC</t>
  </si>
  <si>
    <t>06/23/2000</t>
  </si>
  <si>
    <t>OCNW US</t>
  </si>
  <si>
    <t>CRL US Equity</t>
  </si>
  <si>
    <t>CHARLES RIVER LABORATORIES</t>
  </si>
  <si>
    <t>CRL US</t>
  </si>
  <si>
    <t>QBAK US Equity</t>
  </si>
  <si>
    <t>QUALSTAR CORP</t>
  </si>
  <si>
    <t>QBAK US</t>
  </si>
  <si>
    <t>Technology Hardware, Storage &amp; Peripherals</t>
  </si>
  <si>
    <t>MSV US Equity</t>
  </si>
  <si>
    <t>MANUFACTURERS SERVICES LTD</t>
  </si>
  <si>
    <t>MSV US</t>
  </si>
  <si>
    <t>2295243D US Equity</t>
  </si>
  <si>
    <t>HANDSPRING INC</t>
  </si>
  <si>
    <t>06/21/2000</t>
  </si>
  <si>
    <t>2295243D US</t>
  </si>
  <si>
    <t>CPHD US Equity</t>
  </si>
  <si>
    <t>CEPHEID</t>
  </si>
  <si>
    <t>CPHD US</t>
  </si>
  <si>
    <t>DNDNQ US Equity</t>
  </si>
  <si>
    <t>DENDREON CORP</t>
  </si>
  <si>
    <t>06/16/2000</t>
  </si>
  <si>
    <t>DNDNQ US</t>
  </si>
  <si>
    <t>OSCA US Equity</t>
  </si>
  <si>
    <t>OSCA INC</t>
  </si>
  <si>
    <t>06/15/2000</t>
  </si>
  <si>
    <t>OSCA US</t>
  </si>
  <si>
    <t>ECMN US Equity</t>
  </si>
  <si>
    <t>ECHAPMAN INC</t>
  </si>
  <si>
    <t>06/14/2000</t>
  </si>
  <si>
    <t>ECMN US</t>
  </si>
  <si>
    <t>ISRG US Equity</t>
  </si>
  <si>
    <t>INTUITIVE SURGICAL INC</t>
  </si>
  <si>
    <t>06/13/2000</t>
  </si>
  <si>
    <t>ISRG US</t>
  </si>
  <si>
    <t>TZMT US Equity</t>
  </si>
  <si>
    <t>TELZUIT MEDICAL TECHNOLOGIES</t>
  </si>
  <si>
    <t>TZMT US</t>
  </si>
  <si>
    <t>546171Q LN Equity</t>
  </si>
  <si>
    <t>BRAINDOCK.COM INC -REG S</t>
  </si>
  <si>
    <t>06/12/2000</t>
  </si>
  <si>
    <t>546171Q LN</t>
  </si>
  <si>
    <t>CYH US Equity</t>
  </si>
  <si>
    <t>COMMUNITY HEALTH SYSTEMS INC</t>
  </si>
  <si>
    <t>06/09/2000</t>
  </si>
  <si>
    <t>CYH US</t>
  </si>
  <si>
    <t>Health Care Facilities</t>
  </si>
  <si>
    <t>UPCS US Equity</t>
  </si>
  <si>
    <t>UBIQUITEL INC</t>
  </si>
  <si>
    <t>06/07/2000</t>
  </si>
  <si>
    <t>UPCS US</t>
  </si>
  <si>
    <t>EXLT US Equity</t>
  </si>
  <si>
    <t>EXULT INC</t>
  </si>
  <si>
    <t>06/02/2000</t>
  </si>
  <si>
    <t>EXLT US</t>
  </si>
  <si>
    <t>CWLD US Equity</t>
  </si>
  <si>
    <t>CROSSWORLDS SOFTWARE INC</t>
  </si>
  <si>
    <t>06/01/2000</t>
  </si>
  <si>
    <t>CWLD US</t>
  </si>
  <si>
    <t>ONIS US Equity</t>
  </si>
  <si>
    <t>ONI SYSTEMS CORP</t>
  </si>
  <si>
    <t>ONIS US</t>
  </si>
  <si>
    <t>NRG US Equity</t>
  </si>
  <si>
    <t>NRG ENERGY INC</t>
  </si>
  <si>
    <t>05/31/2000</t>
  </si>
  <si>
    <t>NRG US</t>
  </si>
  <si>
    <t>Utilities</t>
  </si>
  <si>
    <t>Electric Utilities</t>
  </si>
  <si>
    <t>316623Q US Equity</t>
  </si>
  <si>
    <t>NRG ENERGY INC/OLD</t>
  </si>
  <si>
    <t>316623Q US</t>
  </si>
  <si>
    <t>SCRX US Equity</t>
  </si>
  <si>
    <t>SHIONOGI PHARMA INC</t>
  </si>
  <si>
    <t>SCRX US</t>
  </si>
  <si>
    <t>2894314Q US Equity</t>
  </si>
  <si>
    <t>SIRENZA MICRODEVICES INC</t>
  </si>
  <si>
    <t>05/25/2000</t>
  </si>
  <si>
    <t>2894314Q US</t>
  </si>
  <si>
    <t>9993333D US Equity</t>
  </si>
  <si>
    <t>SONUS INC</t>
  </si>
  <si>
    <t>9993333D US</t>
  </si>
  <si>
    <t>3109386Q US Equity</t>
  </si>
  <si>
    <t>UNIVERSAL COMPRESSION HLDGS</t>
  </si>
  <si>
    <t>05/24/2000</t>
  </si>
  <si>
    <t>3109386Q US</t>
  </si>
  <si>
    <t>CTLM US Equity</t>
  </si>
  <si>
    <t>CENTILLIUM COMMUNICATIONS IN</t>
  </si>
  <si>
    <t>CTLM US</t>
  </si>
  <si>
    <t>ICST US Equity</t>
  </si>
  <si>
    <t>INTEGRATED CIRCUIT SYSTEMS</t>
  </si>
  <si>
    <t>05/23/2000</t>
  </si>
  <si>
    <t>ICST US</t>
  </si>
  <si>
    <t>CSAV US Equity</t>
  </si>
  <si>
    <t>COOLSAVINGS LLC</t>
  </si>
  <si>
    <t>05/19/2000</t>
  </si>
  <si>
    <t>CSAV US</t>
  </si>
  <si>
    <t>PXLW US Equity</t>
  </si>
  <si>
    <t>PIXELWORKS INC</t>
  </si>
  <si>
    <t>PXLW US</t>
  </si>
  <si>
    <t>Semiconductors</t>
  </si>
  <si>
    <t>UNWR US Equity</t>
  </si>
  <si>
    <t>US UNWIRED INC</t>
  </si>
  <si>
    <t>05/18/2000</t>
  </si>
  <si>
    <t>UNWR US</t>
  </si>
  <si>
    <t>IBEMQ US Equity</t>
  </si>
  <si>
    <t>IBEAM BROADCASTING CORP</t>
  </si>
  <si>
    <t>IBEMQ US</t>
  </si>
  <si>
    <t>NUFO US Equity</t>
  </si>
  <si>
    <t>OCLARO PHOTONICS INC</t>
  </si>
  <si>
    <t>NUFO US</t>
  </si>
  <si>
    <t>NGTC US Equity</t>
  </si>
  <si>
    <t>NOGATECH INC</t>
  </si>
  <si>
    <t>NGTC US</t>
  </si>
  <si>
    <t>ALMG US Equity</t>
  </si>
  <si>
    <t>ALAMOGORDO FINANCIAL CORP</t>
  </si>
  <si>
    <t>05/16/2000</t>
  </si>
  <si>
    <t>ALMG US</t>
  </si>
  <si>
    <t>SQSW US Equity</t>
  </si>
  <si>
    <t>SEQUOIA SOFTWARE CORP</t>
  </si>
  <si>
    <t>05/12/2000</t>
  </si>
  <si>
    <t>SQSW US</t>
  </si>
  <si>
    <t>GNSL US Equity</t>
  </si>
  <si>
    <t>GENOMIC SOLUTIONS</t>
  </si>
  <si>
    <t>05/05/2000</t>
  </si>
  <si>
    <t>GNSL US</t>
  </si>
  <si>
    <t>0556728D US Equity</t>
  </si>
  <si>
    <t>COGENICS ICORIA INC</t>
  </si>
  <si>
    <t>0556728D US</t>
  </si>
  <si>
    <t>ORCH US Equity</t>
  </si>
  <si>
    <t>ORCHID CELLMARK INC</t>
  </si>
  <si>
    <t>ORCH US</t>
  </si>
  <si>
    <t>CRWN US Equity</t>
  </si>
  <si>
    <t>CROWN MEDIA HOLDINGS-CLASS A</t>
  </si>
  <si>
    <t>05/04/2000</t>
  </si>
  <si>
    <t>CRWN US</t>
  </si>
  <si>
    <t>OTIX US Equity</t>
  </si>
  <si>
    <t>OTIX GLOBAL INC</t>
  </si>
  <si>
    <t>05/02/2000</t>
  </si>
  <si>
    <t>OTIX US</t>
  </si>
  <si>
    <t>2261249D US Equity</t>
  </si>
  <si>
    <t>MONOGRAM BIOSCIENCES INC</t>
  </si>
  <si>
    <t>2261249D US</t>
  </si>
  <si>
    <t>ON US Equity</t>
  </si>
  <si>
    <t>ON SEMICONDUCTOR</t>
  </si>
  <si>
    <t>04/28/2000</t>
  </si>
  <si>
    <t>ON US</t>
  </si>
  <si>
    <t>SBYN US Equity</t>
  </si>
  <si>
    <t>SEEBEYOND TECHNOLOGY CORP</t>
  </si>
  <si>
    <t>SBYN US</t>
  </si>
  <si>
    <t>MTWVQ US Equity</t>
  </si>
  <si>
    <t>METAWAVE COMUNICATIONS CORP</t>
  </si>
  <si>
    <t>04/27/2000</t>
  </si>
  <si>
    <t>MTWVQ US</t>
  </si>
  <si>
    <t>AWE US Equity</t>
  </si>
  <si>
    <t>NEW CINGULAR WIRELESS SERVIC</t>
  </si>
  <si>
    <t>AWE US</t>
  </si>
  <si>
    <t>2521572D US Equity</t>
  </si>
  <si>
    <t>PRAECIS PHARMACEUTICALS INC</t>
  </si>
  <si>
    <t>04/26/2000</t>
  </si>
  <si>
    <t>2521572D US</t>
  </si>
  <si>
    <t>2663075D US Equity</t>
  </si>
  <si>
    <t>PACKARD BIOSCIENCE CO</t>
  </si>
  <si>
    <t>04/20/2000</t>
  </si>
  <si>
    <t>2663075D US</t>
  </si>
  <si>
    <t>1379842D US Equity</t>
  </si>
  <si>
    <t>EMBARCADERO TECHNOLOGIES INC</t>
  </si>
  <si>
    <t>1379842D US</t>
  </si>
  <si>
    <t>ROFO US Equity</t>
  </si>
  <si>
    <t>ROCKFORD CORPORATION</t>
  </si>
  <si>
    <t>04/19/2000</t>
  </si>
  <si>
    <t>ROFO US</t>
  </si>
  <si>
    <t>PECS US Equity</t>
  </si>
  <si>
    <t>PEC SOLUTIONS INC</t>
  </si>
  <si>
    <t>PECS US</t>
  </si>
  <si>
    <t>652404Q US Equity</t>
  </si>
  <si>
    <t>NUANCE COMMUNICATIONS-OLD</t>
  </si>
  <si>
    <t>04/13/2000</t>
  </si>
  <si>
    <t>652404Q US</t>
  </si>
  <si>
    <t>0959089D US Equity</t>
  </si>
  <si>
    <t>CORILLIAN CORP</t>
  </si>
  <si>
    <t>04/12/2000</t>
  </si>
  <si>
    <t>0959089D US</t>
  </si>
  <si>
    <t>SSVG US Equity</t>
  </si>
  <si>
    <t>STRATUS SERVICES GROUP INC</t>
  </si>
  <si>
    <t>SSVG US</t>
  </si>
  <si>
    <t>DDICQ US Equity</t>
  </si>
  <si>
    <t>DDI CORP /CA</t>
  </si>
  <si>
    <t>04/11/2000</t>
  </si>
  <si>
    <t>DDICQ US</t>
  </si>
  <si>
    <t>2942739Q US Equity</t>
  </si>
  <si>
    <t>PORT FINANCIAL CORPORATION</t>
  </si>
  <si>
    <t>2942739Q US</t>
  </si>
  <si>
    <t>FFOL US Equity</t>
  </si>
  <si>
    <t>FIRST FEDERAL OF OLATHE BANC</t>
  </si>
  <si>
    <t>FFOL US</t>
  </si>
  <si>
    <t>EXEL US Equity</t>
  </si>
  <si>
    <t>EXELIXIS INC</t>
  </si>
  <si>
    <t>EXEL US</t>
  </si>
  <si>
    <t>HSTM US Equity</t>
  </si>
  <si>
    <t>HEALTHSTREAM INC</t>
  </si>
  <si>
    <t>04/10/2000</t>
  </si>
  <si>
    <t>HSTM US</t>
  </si>
  <si>
    <t>Health Care Technology</t>
  </si>
  <si>
    <t>TNOX US Equity</t>
  </si>
  <si>
    <t>TANOX INC</t>
  </si>
  <si>
    <t>04/07/2000</t>
  </si>
  <si>
    <t>TNOX US</t>
  </si>
  <si>
    <t>LPSN US Equity</t>
  </si>
  <si>
    <t>LIVEPERSON INC</t>
  </si>
  <si>
    <t>LPSN US</t>
  </si>
  <si>
    <t>Software</t>
  </si>
  <si>
    <t>Application Software</t>
  </si>
  <si>
    <t>1529158D US Equity</t>
  </si>
  <si>
    <t>NUMERICAL TECHNOLOGIES INC</t>
  </si>
  <si>
    <t>1529158D US</t>
  </si>
  <si>
    <t>2347450D US Equity</t>
  </si>
  <si>
    <t>SABA SOFTWARE INC</t>
  </si>
  <si>
    <t>2347450D US</t>
  </si>
  <si>
    <t>1574849D US Equity</t>
  </si>
  <si>
    <t>PURPLE COMMUNICATIONS INC</t>
  </si>
  <si>
    <t>1574849D US</t>
  </si>
  <si>
    <t>LXRX US Equity</t>
  </si>
  <si>
    <t>LEXICON PHARMACEUTICALS INC</t>
  </si>
  <si>
    <t>LXRX US</t>
  </si>
  <si>
    <t>2241483Q US Equity</t>
  </si>
  <si>
    <t>ARTEMIS INTERNATIONAL SOLUTI</t>
  </si>
  <si>
    <t>04/06/2000</t>
  </si>
  <si>
    <t>2241483Q US</t>
  </si>
  <si>
    <t>IIIM US Equity</t>
  </si>
  <si>
    <t>I3 MOBILE INC</t>
  </si>
  <si>
    <t>IIIM US</t>
  </si>
  <si>
    <t>SGMOQ US Equity</t>
  </si>
  <si>
    <t>SANGAMO THERAPEUTICS INC</t>
  </si>
  <si>
    <t>SGMOQ US</t>
  </si>
  <si>
    <t>EBMT US Equity</t>
  </si>
  <si>
    <t>EAGLE BANCORP MONTANA INC</t>
  </si>
  <si>
    <t>04/05/2000</t>
  </si>
  <si>
    <t>EBMT US</t>
  </si>
  <si>
    <t>ULCM US Equity</t>
  </si>
  <si>
    <t>ULTICOM INC</t>
  </si>
  <si>
    <t>ULCM US</t>
  </si>
  <si>
    <t>VYYO US Equity</t>
  </si>
  <si>
    <t>JAVELIN INNOVATIONS INC</t>
  </si>
  <si>
    <t>VYYO US</t>
  </si>
  <si>
    <t>1886994D US Equity</t>
  </si>
  <si>
    <t>ORATEC INTERVENTIONS INC</t>
  </si>
  <si>
    <t>04/04/2000</t>
  </si>
  <si>
    <t>1886994D US</t>
  </si>
  <si>
    <t>KKD US Equity</t>
  </si>
  <si>
    <t>KRISPY KREME DOUGHNUTS INC</t>
  </si>
  <si>
    <t>KKD US</t>
  </si>
  <si>
    <t>MET US Equity</t>
  </si>
  <si>
    <t>METLIFE INC</t>
  </si>
  <si>
    <t>MET US</t>
  </si>
  <si>
    <t>Insurance</t>
  </si>
  <si>
    <t>Life &amp; Health Insurance</t>
  </si>
  <si>
    <t>CCMP US Equity</t>
  </si>
  <si>
    <t>CMC MATERIALS LLC</t>
  </si>
  <si>
    <t>CCMP US</t>
  </si>
  <si>
    <t>VVC US Equity</t>
  </si>
  <si>
    <t>VECTREN LLC</t>
  </si>
  <si>
    <t>04/03/2000</t>
  </si>
  <si>
    <t>VVC US</t>
  </si>
  <si>
    <t>ARPT US Equity</t>
  </si>
  <si>
    <t>ARROWPOINT COMMUNICATIONS</t>
  </si>
  <si>
    <t>03/31/2000</t>
  </si>
  <si>
    <t>ARPT US</t>
  </si>
  <si>
    <t>CNVR US Equity</t>
  </si>
  <si>
    <t>CONVERSANT INC</t>
  </si>
  <si>
    <t>03/30/2000</t>
  </si>
  <si>
    <t>CNVR US</t>
  </si>
  <si>
    <t>PCBI US Equity</t>
  </si>
  <si>
    <t>PEOPLES COMMUNITY BANCORP</t>
  </si>
  <si>
    <t>PCBI US</t>
  </si>
  <si>
    <t>2599359D US Equity</t>
  </si>
  <si>
    <t>LUMINEX CORP</t>
  </si>
  <si>
    <t>2599359D US</t>
  </si>
  <si>
    <t>TLCT US Equity</t>
  </si>
  <si>
    <t>DIRECTV BROADBAND INC</t>
  </si>
  <si>
    <t>03/29/2000</t>
  </si>
  <si>
    <t>TLCT US</t>
  </si>
  <si>
    <t>MFLO US Equity</t>
  </si>
  <si>
    <t>MOLDFLOW CORP</t>
  </si>
  <si>
    <t>03/28/2000</t>
  </si>
  <si>
    <t>MFLO US</t>
  </si>
  <si>
    <t>WBSN US Equity</t>
  </si>
  <si>
    <t>WEBSENSE INC</t>
  </si>
  <si>
    <t>WBSN US</t>
  </si>
  <si>
    <t>ALTH US Equity</t>
  </si>
  <si>
    <t>ALLOS THERAPEUTICS INC</t>
  </si>
  <si>
    <t>ALTH US</t>
  </si>
  <si>
    <t>RDEA US Equity</t>
  </si>
  <si>
    <t>ARDEA BIOSCIENCES INC</t>
  </si>
  <si>
    <t>RDEA US</t>
  </si>
  <si>
    <t>ARTD US Equity</t>
  </si>
  <si>
    <t>ARTISTDIRECT INC</t>
  </si>
  <si>
    <t>03/27/2000</t>
  </si>
  <si>
    <t>ARTD US</t>
  </si>
  <si>
    <t>VSGIQ US Equity</t>
  </si>
  <si>
    <t>VIASYSTEMS GROUP INC/OLD</t>
  </si>
  <si>
    <t>03/24/2000</t>
  </si>
  <si>
    <t>VSGIQ US</t>
  </si>
  <si>
    <t>DGLHQ US Equity</t>
  </si>
  <si>
    <t>DIGITAL LIGHTHOUSE CORP</t>
  </si>
  <si>
    <t>DGLHQ US</t>
  </si>
  <si>
    <t>370240Q US Equity</t>
  </si>
  <si>
    <t>EPRISE CORP</t>
  </si>
  <si>
    <t>370240Q US</t>
  </si>
  <si>
    <t>SLAB US Equity</t>
  </si>
  <si>
    <t>SILICON LABORATORIES INC</t>
  </si>
  <si>
    <t>SLAB US</t>
  </si>
  <si>
    <t>ITMN US Equity</t>
  </si>
  <si>
    <t>INTERMUNE INC</t>
  </si>
  <si>
    <t>ITMN US</t>
  </si>
  <si>
    <t>334454Q US Equity</t>
  </si>
  <si>
    <t>E-MACHINES LLC</t>
  </si>
  <si>
    <t>03/23/2000</t>
  </si>
  <si>
    <t>334454Q US</t>
  </si>
  <si>
    <t>1008517Q US Equity</t>
  </si>
  <si>
    <t>BLAZE SOFTWARE INC</t>
  </si>
  <si>
    <t>1008517Q US</t>
  </si>
  <si>
    <t>833554Q US Equity</t>
  </si>
  <si>
    <t>PARTSBASE INC</t>
  </si>
  <si>
    <t>03/22/2000</t>
  </si>
  <si>
    <t>833554Q US</t>
  </si>
  <si>
    <t>366210Q US Equity</t>
  </si>
  <si>
    <t>INSILICON CORP</t>
  </si>
  <si>
    <t>366210Q US</t>
  </si>
  <si>
    <t>ACLA US Equity</t>
  </si>
  <si>
    <t>ACLARA BIOSCIENCES INC</t>
  </si>
  <si>
    <t>03/21/2000</t>
  </si>
  <si>
    <t>ACLA US</t>
  </si>
  <si>
    <t>SCOXQ US Equity</t>
  </si>
  <si>
    <t>SCO GROUP INC/THE</t>
  </si>
  <si>
    <t>SCOXQ US</t>
  </si>
  <si>
    <t>IGNX US Equity</t>
  </si>
  <si>
    <t>IGN ENTERTAINMENT INC</t>
  </si>
  <si>
    <t>03/20/2000</t>
  </si>
  <si>
    <t>IGNX US</t>
  </si>
  <si>
    <t>IISX US Equity</t>
  </si>
  <si>
    <t>INTEGRATED INFORMATION SYS</t>
  </si>
  <si>
    <t>03/17/2000</t>
  </si>
  <si>
    <t>IISX US</t>
  </si>
  <si>
    <t>499711Q US Equity</t>
  </si>
  <si>
    <t>UPROAR INC</t>
  </si>
  <si>
    <t>03/16/2000</t>
  </si>
  <si>
    <t>499711Q US</t>
  </si>
  <si>
    <t>UAXSQ US Equity</t>
  </si>
  <si>
    <t>UNIVERSAL ACCESS GLOBAL</t>
  </si>
  <si>
    <t>UAXSQ US</t>
  </si>
  <si>
    <t>TPTI US Equity</t>
  </si>
  <si>
    <t>TIPPINGPOINT TECHNOLOGIES</t>
  </si>
  <si>
    <t>TPTI US</t>
  </si>
  <si>
    <t>8766227Q US Equity</t>
  </si>
  <si>
    <t>IMPROVENET INC</t>
  </si>
  <si>
    <t>03/15/2000</t>
  </si>
  <si>
    <t>8766227Q US</t>
  </si>
  <si>
    <t>LNCMQ US Equity</t>
  </si>
  <si>
    <t>LENCO MOBILE INC</t>
  </si>
  <si>
    <t>03/14/2000</t>
  </si>
  <si>
    <t>LNCMQ US</t>
  </si>
  <si>
    <t>LOUD US Equity</t>
  </si>
  <si>
    <t>LOUDEYE CORP</t>
  </si>
  <si>
    <t>LOUD US</t>
  </si>
  <si>
    <t>CSTI US Equity</t>
  </si>
  <si>
    <t>COSTAR TECHNOLOGIES INC</t>
  </si>
  <si>
    <t>03/13/2000</t>
  </si>
  <si>
    <t>CSTI US</t>
  </si>
  <si>
    <t>3023927Q US Equity</t>
  </si>
  <si>
    <t>DIGITAS INC</t>
  </si>
  <si>
    <t>3023927Q US</t>
  </si>
  <si>
    <t>HOMG US Equity</t>
  </si>
  <si>
    <t>HOMEGROCER.COM INC</t>
  </si>
  <si>
    <t>03/09/2000</t>
  </si>
  <si>
    <t>HOMG US</t>
  </si>
  <si>
    <t>OTGS US Equity</t>
  </si>
  <si>
    <t>OTG SOFTWARE INC</t>
  </si>
  <si>
    <t>OTGS US</t>
  </si>
  <si>
    <t>DTRM US Equity</t>
  </si>
  <si>
    <t>DETERMINE INC</t>
  </si>
  <si>
    <t>DTRM US</t>
  </si>
  <si>
    <t>OPHM US Equity</t>
  </si>
  <si>
    <t>ORAPHARMA INC</t>
  </si>
  <si>
    <t>03/08/2000</t>
  </si>
  <si>
    <t>OPHM US</t>
  </si>
  <si>
    <t>VRDOQ US Equity</t>
  </si>
  <si>
    <t>VERADO HOLDINGS INC-B</t>
  </si>
  <si>
    <t>03/07/2000</t>
  </si>
  <si>
    <t>VRDOQ US</t>
  </si>
  <si>
    <t>IPRT US Equity</t>
  </si>
  <si>
    <t>IPRINT TECHNOLOGIES INC</t>
  </si>
  <si>
    <t>IPRT US</t>
  </si>
  <si>
    <t>NTKKQ US Equity</t>
  </si>
  <si>
    <t>NET2000 COMMUNICATIONS INC</t>
  </si>
  <si>
    <t>03/06/2000</t>
  </si>
  <si>
    <t>NTKKQ US</t>
  </si>
  <si>
    <t>377089Q US Equity</t>
  </si>
  <si>
    <t>PRIME RESPONSE INC</t>
  </si>
  <si>
    <t>03/02/2000</t>
  </si>
  <si>
    <t>377089Q US</t>
  </si>
  <si>
    <t>1435766D US Equity</t>
  </si>
  <si>
    <t>REGISTER.COM INC</t>
  </si>
  <si>
    <t>1435766D US</t>
  </si>
  <si>
    <t>VATA US Equity</t>
  </si>
  <si>
    <t>VERSATA INC</t>
  </si>
  <si>
    <t>VATA US</t>
  </si>
  <si>
    <t>SWBD US Equity</t>
  </si>
  <si>
    <t>SWITCHBOARD INC</t>
  </si>
  <si>
    <t>03/01/2000</t>
  </si>
  <si>
    <t>SWBD US</t>
  </si>
  <si>
    <t>SBMC US Equity</t>
  </si>
  <si>
    <t>CONNECTICUT BANCSHARES INC</t>
  </si>
  <si>
    <t>SBMC US</t>
  </si>
  <si>
    <t>PALM US Equity</t>
  </si>
  <si>
    <t>PALM INC</t>
  </si>
  <si>
    <t>PALM US</t>
  </si>
  <si>
    <t>ONVI US Equity</t>
  </si>
  <si>
    <t>ONVIA INC</t>
  </si>
  <si>
    <t>02/29/2000</t>
  </si>
  <si>
    <t>ONVI US</t>
  </si>
  <si>
    <t>984185Q US Equity</t>
  </si>
  <si>
    <t>MATRIXONE INC</t>
  </si>
  <si>
    <t>984185Q US</t>
  </si>
  <si>
    <t>NIKU US Equity</t>
  </si>
  <si>
    <t>NIKU CORP</t>
  </si>
  <si>
    <t>02/28/2000</t>
  </si>
  <si>
    <t>NIKU US</t>
  </si>
  <si>
    <t>NTGX US Equity</t>
  </si>
  <si>
    <t>NET.GENESIS CORP</t>
  </si>
  <si>
    <t>NTGX US</t>
  </si>
  <si>
    <t>AQNT US Equity</t>
  </si>
  <si>
    <t>AQUANTIVE INC</t>
  </si>
  <si>
    <t>AQNT US</t>
  </si>
  <si>
    <t>ISIL US Equity</t>
  </si>
  <si>
    <t>RENESAS ELECTRONICS AMERICA</t>
  </si>
  <si>
    <t>02/25/2000</t>
  </si>
  <si>
    <t>ISIL US</t>
  </si>
  <si>
    <t>3518429Q US Equity</t>
  </si>
  <si>
    <t>HOTELS.COM-CL A</t>
  </si>
  <si>
    <t>02/24/2000</t>
  </si>
  <si>
    <t>3518429Q US</t>
  </si>
  <si>
    <t>DTHK US Equity</t>
  </si>
  <si>
    <t>DIGITALTHINK INC</t>
  </si>
  <si>
    <t>DTHK US</t>
  </si>
  <si>
    <t>1902177D US Equity</t>
  </si>
  <si>
    <t>NEXTEL PARTNERS INC -CL A</t>
  </si>
  <si>
    <t>02/23/2000</t>
  </si>
  <si>
    <t>1902177D US</t>
  </si>
  <si>
    <t>EZAU US Equity</t>
  </si>
  <si>
    <t>EZ AUCTIONS AND SHIPPING INC</t>
  </si>
  <si>
    <t>02/17/2000</t>
  </si>
  <si>
    <t>EZAU US</t>
  </si>
  <si>
    <t>1638709D US Equity</t>
  </si>
  <si>
    <t>INFORTE CORP</t>
  </si>
  <si>
    <t>1638709D US</t>
  </si>
  <si>
    <t>2960654Q US Equity</t>
  </si>
  <si>
    <t>LENDINGTREE INC</t>
  </si>
  <si>
    <t>02/16/2000</t>
  </si>
  <si>
    <t>2960654Q US</t>
  </si>
  <si>
    <t>WFSM US Equity</t>
  </si>
  <si>
    <t>WESTBOROUGH FINANCIAL SVCS</t>
  </si>
  <si>
    <t>WFSM US</t>
  </si>
  <si>
    <t>52245Q US Equity</t>
  </si>
  <si>
    <t>ELOQUENT INC</t>
  </si>
  <si>
    <t>52245Q US</t>
  </si>
  <si>
    <t>APRS US Equity</t>
  </si>
  <si>
    <t>APROPOS TECHNOLOGY INC</t>
  </si>
  <si>
    <t>APRS US</t>
  </si>
  <si>
    <t>CWONQ US Equity</t>
  </si>
  <si>
    <t>ONE COMMUNICATIONS</t>
  </si>
  <si>
    <t>CWONQ US</t>
  </si>
  <si>
    <t>VRNM US Equity</t>
  </si>
  <si>
    <t>BASF ENZYMES LLC</t>
  </si>
  <si>
    <t>02/14/2000</t>
  </si>
  <si>
    <t>VRNM US</t>
  </si>
  <si>
    <t>2557200D US Equity</t>
  </si>
  <si>
    <t>VARSITY GROUP INC</t>
  </si>
  <si>
    <t>2557200D US</t>
  </si>
  <si>
    <t>JMIC US Equity</t>
  </si>
  <si>
    <t>JEREMY'S MICROBATCH ICE CREA</t>
  </si>
  <si>
    <t>JMIC US</t>
  </si>
  <si>
    <t>2096692D US Equity</t>
  </si>
  <si>
    <t>CHORDIANT SOFTWARE INC</t>
  </si>
  <si>
    <t>2096692D US</t>
  </si>
  <si>
    <t>SVVS US Equity</t>
  </si>
  <si>
    <t>SAVVIS INC</t>
  </si>
  <si>
    <t>SVVS US</t>
  </si>
  <si>
    <t>SDRV US Equity</t>
  </si>
  <si>
    <t>STARDRIVE SOLUTIONS INC</t>
  </si>
  <si>
    <t>SDRV US</t>
  </si>
  <si>
    <t>ERBA US Equity</t>
  </si>
  <si>
    <t>ERBA DIAGNOSTICS INC</t>
  </si>
  <si>
    <t>ERBA US</t>
  </si>
  <si>
    <t>VMDC US Equity</t>
  </si>
  <si>
    <t>VANTAGEMED CORP</t>
  </si>
  <si>
    <t>VMDC US</t>
  </si>
  <si>
    <t>LNTE US Equity</t>
  </si>
  <si>
    <t>LANTE CORP</t>
  </si>
  <si>
    <t>02/11/2000</t>
  </si>
  <si>
    <t>LNTE US</t>
  </si>
  <si>
    <t>IPETZ US Equity</t>
  </si>
  <si>
    <t>IPET HOLDINGS INC/UNITED STA</t>
  </si>
  <si>
    <t>02/10/2000</t>
  </si>
  <si>
    <t>IPETZ US</t>
  </si>
  <si>
    <t>BBGI US Equity</t>
  </si>
  <si>
    <t>BEASLEY BROADCAST GRP INC -A</t>
  </si>
  <si>
    <t>BBGI US</t>
  </si>
  <si>
    <t>FRGO US Equity</t>
  </si>
  <si>
    <t>FARGO ELECTRONICS</t>
  </si>
  <si>
    <t>FRGO US</t>
  </si>
  <si>
    <t>3208542Q US Equity</t>
  </si>
  <si>
    <t>SOFTWARE AG USA INC</t>
  </si>
  <si>
    <t>3208542Q US</t>
  </si>
  <si>
    <t>VNWI US Equity</t>
  </si>
  <si>
    <t>VIA NET.WORKS INC</t>
  </si>
  <si>
    <t>VNWI US</t>
  </si>
  <si>
    <t>715097Q US Equity</t>
  </si>
  <si>
    <t>LIGHTSPAN INC</t>
  </si>
  <si>
    <t>02/09/2000</t>
  </si>
  <si>
    <t>715097Q US</t>
  </si>
  <si>
    <t>AUSA US Equity</t>
  </si>
  <si>
    <t>ACCESS PLANS USA INC</t>
  </si>
  <si>
    <t>AUSA US</t>
  </si>
  <si>
    <t>QVDX US Equity</t>
  </si>
  <si>
    <t>HEALTHVISION</t>
  </si>
  <si>
    <t>QVDX US</t>
  </si>
  <si>
    <t>WITS US Equity</t>
  </si>
  <si>
    <t>WITNESS SYSTEMS INC</t>
  </si>
  <si>
    <t>WITS US</t>
  </si>
  <si>
    <t>OGNC US Equity</t>
  </si>
  <si>
    <t>ORGANIC INC</t>
  </si>
  <si>
    <t>OGNC US</t>
  </si>
  <si>
    <t>CYCO US Equity</t>
  </si>
  <si>
    <t>CYPRESS COMMUNICATIONS INC</t>
  </si>
  <si>
    <t>CYCO US</t>
  </si>
  <si>
    <t>VCNT US Equity</t>
  </si>
  <si>
    <t>VICINITY CORP</t>
  </si>
  <si>
    <t>02/08/2000</t>
  </si>
  <si>
    <t>VCNT US</t>
  </si>
  <si>
    <t>0404579D US Equity</t>
  </si>
  <si>
    <t>LANDACORP INC</t>
  </si>
  <si>
    <t>0404579D US</t>
  </si>
  <si>
    <t>BUYX US Equity</t>
  </si>
  <si>
    <t>BUY.COM INC-OLD</t>
  </si>
  <si>
    <t>02/07/2000</t>
  </si>
  <si>
    <t>BUYX US</t>
  </si>
  <si>
    <t>FSSTQ US Equity</t>
  </si>
  <si>
    <t>FASTNET CORPORATION</t>
  </si>
  <si>
    <t>FSSTQ US</t>
  </si>
  <si>
    <t>2679945Q US Equity</t>
  </si>
  <si>
    <t>THERMA-WAVE INC</t>
  </si>
  <si>
    <t>02/03/2000</t>
  </si>
  <si>
    <t>2679945Q US</t>
  </si>
  <si>
    <t>1292387D US Equity</t>
  </si>
  <si>
    <t>DOBSON COMMUNICATIONS CORP</t>
  </si>
  <si>
    <t>1292387D US</t>
  </si>
  <si>
    <t>EMRG US Equity</t>
  </si>
  <si>
    <t>EMERGE INTERACTIVE INC -CL A</t>
  </si>
  <si>
    <t>EMRG US</t>
  </si>
  <si>
    <t>AGEN US Equity</t>
  </si>
  <si>
    <t>AGENUS INC</t>
  </si>
  <si>
    <t>AGEN US</t>
  </si>
  <si>
    <t>INVT US Equity</t>
  </si>
  <si>
    <t>INVENTERGY GLOBAL INC</t>
  </si>
  <si>
    <t>INVT US</t>
  </si>
  <si>
    <t>WQNI US Equity</t>
  </si>
  <si>
    <t>WQN INC</t>
  </si>
  <si>
    <t>WQNI US</t>
  </si>
  <si>
    <t>Diversified Telecommunication Services</t>
  </si>
  <si>
    <t>Alternative Carriers</t>
  </si>
  <si>
    <t>MCCC US Equity</t>
  </si>
  <si>
    <t>MEDIACOM COMMUNICATIONS-A</t>
  </si>
  <si>
    <t>MCCC US</t>
  </si>
  <si>
    <t>827691Q US Equity</t>
  </si>
  <si>
    <t>FIREPOND INC</t>
  </si>
  <si>
    <t>827691Q US</t>
  </si>
  <si>
    <t>AVNX US Equity</t>
  </si>
  <si>
    <t>LUMENTUM ITALY INC</t>
  </si>
  <si>
    <t>AVNX US</t>
  </si>
  <si>
    <t>3539245Q US Equity</t>
  </si>
  <si>
    <t>ALAMOSA HOLDINGS INC</t>
  </si>
  <si>
    <t>02/02/2000</t>
  </si>
  <si>
    <t>3539245Q US</t>
  </si>
  <si>
    <t>1510484D US Equity</t>
  </si>
  <si>
    <t>CENTRA SOFTWARE INC</t>
  </si>
  <si>
    <t>1510484D US</t>
  </si>
  <si>
    <t>PRXM US Equity</t>
  </si>
  <si>
    <t>PROXIM WIRELESS CORP</t>
  </si>
  <si>
    <t>02/01/2000</t>
  </si>
  <si>
    <t>PRXM US</t>
  </si>
  <si>
    <t>139663Q US Equity</t>
  </si>
  <si>
    <t>SKILLSOFT US LLC</t>
  </si>
  <si>
    <t>01/31/2000</t>
  </si>
  <si>
    <t>139663Q US</t>
  </si>
  <si>
    <t>QEDI US Equity</t>
  </si>
  <si>
    <t>QUANTUM EFFECT DEVICES INC</t>
  </si>
  <si>
    <t>QEDI US</t>
  </si>
  <si>
    <t>SQNM US Equity</t>
  </si>
  <si>
    <t>SEQUENOM INC</t>
  </si>
  <si>
    <t>SQNM US</t>
  </si>
  <si>
    <t>0618171D US Equity</t>
  </si>
  <si>
    <t>TURNSTONE SYSTEMS INC</t>
  </si>
  <si>
    <t>0618171D US</t>
  </si>
  <si>
    <t>3695043Q US Equity</t>
  </si>
  <si>
    <t>NATCO GROUP INC-A</t>
  </si>
  <si>
    <t>01/28/2000</t>
  </si>
  <si>
    <t>3695043Q US</t>
  </si>
  <si>
    <t>SVN CN Equity</t>
  </si>
  <si>
    <t>724 SOLUTIONS INC</t>
  </si>
  <si>
    <t>SVN CN</t>
  </si>
  <si>
    <t>ASPM US Equity</t>
  </si>
  <si>
    <t>ASPECT MEDICAL SYSTEMS INC</t>
  </si>
  <si>
    <t>01/27/2000</t>
  </si>
  <si>
    <t>ASPM US</t>
  </si>
  <si>
    <t>MAXW US Equity</t>
  </si>
  <si>
    <t>MAXWORLDWIDE INC</t>
  </si>
  <si>
    <t>MAXW US</t>
  </si>
  <si>
    <t>APL US Equity</t>
  </si>
  <si>
    <t>TARGA PIPELINE PARTNERS LP</t>
  </si>
  <si>
    <t>APL US</t>
  </si>
  <si>
    <t>PKG US Equity</t>
  </si>
  <si>
    <t>PACKAGING CORP OF AMERICA</t>
  </si>
  <si>
    <t>PKG US</t>
  </si>
  <si>
    <t>Materials</t>
  </si>
  <si>
    <t>Containers &amp; Packaging</t>
  </si>
  <si>
    <t>Paper &amp; Plastic Packaging Products &amp; Materials</t>
  </si>
  <si>
    <t>CAMZ US Equity</t>
  </si>
  <si>
    <t>FIS ENERGY SYSTEMS INC</t>
  </si>
  <si>
    <t>CAMZ US</t>
  </si>
  <si>
    <t>1297092D US Equity</t>
  </si>
  <si>
    <t>INFOR GLOBAL SOLUTIONS MASSA</t>
  </si>
  <si>
    <t>01/26/2000</t>
  </si>
  <si>
    <t>1297092D US</t>
  </si>
  <si>
    <t>JHF US Equity</t>
  </si>
  <si>
    <t>JOHN HANCOCK FINANCIAL SRVCS</t>
  </si>
  <si>
    <t>JHF US</t>
  </si>
  <si>
    <t>HGAT US Equity</t>
  </si>
  <si>
    <t>HEALTHGATE DATA CORP</t>
  </si>
  <si>
    <t>01/25/2000</t>
  </si>
  <si>
    <t>HGAT US</t>
  </si>
  <si>
    <t>695534Q US Equity</t>
  </si>
  <si>
    <t>T/R SYSTEMS INC</t>
  </si>
  <si>
    <t>695534Q US</t>
  </si>
  <si>
    <t>RGCIQ US Equity</t>
  </si>
  <si>
    <t>TOWNSQUARE MEDIA 2010 INC</t>
  </si>
  <si>
    <t>01/24/2000</t>
  </si>
  <si>
    <t>RGCIQ US</t>
  </si>
  <si>
    <t>NEOF US Equity</t>
  </si>
  <si>
    <t>NEOFORMA INC</t>
  </si>
  <si>
    <t>NEOF US</t>
  </si>
  <si>
    <t>0715291D CN Equity</t>
  </si>
  <si>
    <t>DELTA SYSTEMS INC</t>
  </si>
  <si>
    <t>01/05/2000</t>
  </si>
  <si>
    <t>0715291D CN</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</si>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</sst>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amily val="2"/>
    </font>
    <font>
      <b/>
      <sz val="12"/>
      <color rgb="FFFFFFFF"/>
      <name val="Calibri"/>
      <family val="2"/>
    </font>
    <font>
      <sz val="9"/>
      <name val="Calibri"/>
      <family val="2"/>
    </font>
    <font>
      <b/>
      <sz val="9"/>
      <name val="Calibri"/>
      <family val="2"/>
    </font>
    <font>
      <sz val="6"/>
      <name val="Calibri"/>
      <family val="2"/>
    </font>
    <font>
      <sz val="10"/>
      <name val="Arial"/>
      <family val="2"/>
    </font>
    <font>
      <b/>
      <sz val="10"/>
      <name val="Arial"/>
      <family val="2"/>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left"/>
    </xf>
    <xf numFmtId="2" fontId="3" fillId="0" borderId="0" xfId="28" applyNumberFormat="1" applyAlignment="1">
      <alignment horizontal="right"/>
    </xf>
    <xf numFmtId="0" fontId="6" fillId="0" borderId="0" xfId="28" applyFont="1"/>
    <xf numFmtId="0" fontId="6" fillId="0" borderId="0" xfId="13" applyFont="1" applyAlignment="1">
      <alignment horizontal="left"/>
    </xf>
    <xf numFmtId="2" fontId="6" fillId="0" borderId="0" xfId="28" applyNumberFormat="1" applyFont="1" applyAlignment="1">
      <alignment horizontal="right"/>
    </xf>
    <xf numFmtId="0" fontId="6" fillId="0" borderId="0" xfId="28" applyFont="1" applyAlignment="1">
      <alignment horizontal="left"/>
    </xf>
    <xf numFmtId="0" fontId="7" fillId="3" borderId="0" xfId="4" applyFont="1">
      <alignment horizontal="center"/>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BDP|10418987023048515935</stp>
        <tr r="H346" s="1"/>
      </tp>
      <tp t="s">
        <v>#N/A N/A</v>
        <stp/>
        <stp>BDP|11282735709109001557</stp>
        <tr r="H215" s="1"/>
      </tp>
      <tp t="s">
        <v>#N/A N/A</v>
        <stp/>
        <stp>BDP|15818609280668196947</stp>
        <tr r="I337" s="1"/>
      </tp>
      <tp t="s">
        <v>#N/A N/A</v>
        <stp/>
        <stp>BDP|10378785581666460334</stp>
        <tr r="H37" s="1"/>
      </tp>
      <tp t="s">
        <v>#N/A N/A</v>
        <stp/>
        <stp>BDP|15276817763589587895</stp>
        <tr r="H20" s="1"/>
      </tp>
      <tp t="s">
        <v>#N/A N/A</v>
        <stp/>
        <stp>BDP|18236969021371474803</stp>
        <tr r="H95" s="1"/>
      </tp>
      <tp t="s">
        <v>#N/A N/A</v>
        <stp/>
        <stp>BDP|11724696288486222353</stp>
        <tr r="I305" s="1"/>
      </tp>
      <tp t="s">
        <v>#N/A N/A</v>
        <stp/>
        <stp>BDP|17599772992533082009</stp>
        <tr r="H92" s="1"/>
      </tp>
      <tp t="s">
        <v>#N/A N/A</v>
        <stp/>
        <stp>BDP|14083764393162769226</stp>
        <tr r="H242" s="1"/>
      </tp>
      <tp t="s">
        <v>#N/A N/A</v>
        <stp/>
        <stp>BDP|15542857133120323404</stp>
        <tr r="I149" s="1"/>
      </tp>
      <tp t="s">
        <v>#N/A N/A</v>
        <stp/>
        <stp>BDP|11066201956684466815</stp>
        <tr r="H117" s="1"/>
      </tp>
      <tp t="s">
        <v>#N/A N/A</v>
        <stp/>
        <stp>BDP|13131769631924573911</stp>
        <tr r="I140" s="1"/>
      </tp>
      <tp t="s">
        <v>#N/A N/A</v>
        <stp/>
        <stp>BDP|12832407034787866816</stp>
        <tr r="H158" s="1"/>
      </tp>
      <tp t="s">
        <v>#N/A N/A</v>
        <stp/>
        <stp>BDP|17266313927925091925</stp>
        <tr r="I121" s="1"/>
      </tp>
      <tp t="s">
        <v>#N/A N/A</v>
        <stp/>
        <stp>BDP|16691325610056425997</stp>
        <tr r="H313" s="1"/>
      </tp>
      <tp t="s">
        <v>#N/A N/A</v>
        <stp/>
        <stp>BDP|18075519301034811210</stp>
        <tr r="I71" s="1"/>
      </tp>
      <tp t="s">
        <v>#N/A N/A</v>
        <stp/>
        <stp>BDP|14020568579224273943</stp>
        <tr r="H303" s="1"/>
      </tp>
      <tp t="s">
        <v>#N/A N/A</v>
        <stp/>
        <stp>BDP|14896498113463973931</stp>
        <tr r="I141" s="1"/>
      </tp>
      <tp t="s">
        <v>#N/A N/A</v>
        <stp/>
        <stp>BDP|14001138812189320694</stp>
        <tr r="I164" s="1"/>
      </tp>
      <tp t="s">
        <v>#N/A N/A</v>
        <stp/>
        <stp>BDP|11521752528937622858</stp>
        <tr r="I119" s="1"/>
      </tp>
      <tp t="s">
        <v>#N/A N/A</v>
        <stp/>
        <stp>BDP|12978629886975545258</stp>
        <tr r="H280" s="1"/>
      </tp>
      <tp t="s">
        <v>#N/A N/A</v>
        <stp/>
        <stp>BDP|10525957943634749288</stp>
        <tr r="H211" s="1"/>
      </tp>
      <tp t="s">
        <v>#N/A N/A</v>
        <stp/>
        <stp>BDP|17953713545187776863</stp>
        <tr r="I300" s="1"/>
      </tp>
      <tp t="s">
        <v>#N/A N/A</v>
        <stp/>
        <stp>BDP|10862331185862241209</stp>
        <tr r="I155" s="1"/>
      </tp>
      <tp t="s">
        <v>#N/A N/A</v>
        <stp/>
        <stp>BDP|16769080135909175749</stp>
        <tr r="H355" s="1"/>
      </tp>
      <tp t="s">
        <v>#N/A N/A</v>
        <stp/>
        <stp>BDP|10251424340758628391</stp>
        <tr r="I220" s="1"/>
      </tp>
      <tp t="s">
        <v>#N/A N/A</v>
        <stp/>
        <stp>BDP|10253721798884245149</stp>
        <tr r="H244" s="1"/>
      </tp>
      <tp t="s">
        <v>#N/A N/A</v>
        <stp/>
        <stp>BDP|17453413693384152568</stp>
        <tr r="H314" s="1"/>
      </tp>
      <tp t="s">
        <v>#N/A N/A</v>
        <stp/>
        <stp>BDP|12161617894983670516</stp>
        <tr r="I5" s="1"/>
      </tp>
      <tp t="s">
        <v>#N/A N/A</v>
        <stp/>
        <stp>BDP|13360482297253823661</stp>
        <tr r="H107" s="1"/>
      </tp>
      <tp t="s">
        <v>#N/A N/A</v>
        <stp/>
        <stp>BDP|18358560347856707425</stp>
        <tr r="H213" s="1"/>
      </tp>
      <tp t="s">
        <v>#N/A N/A</v>
        <stp/>
        <stp>BDP|11533241597678790974</stp>
        <tr r="I247" s="1"/>
      </tp>
      <tp t="s">
        <v>#N/A N/A</v>
        <stp/>
        <stp>BDP|14376551485187947636</stp>
        <tr r="I29" s="1"/>
      </tp>
      <tp t="s">
        <v>#N/A N/A</v>
        <stp/>
        <stp>BDP|11260753332175975878</stp>
        <tr r="I142" s="1"/>
      </tp>
      <tp t="s">
        <v>#N/A N/A</v>
        <stp/>
        <stp>BDP|10655286925518992080</stp>
        <tr r="I144" s="1"/>
      </tp>
      <tp t="s">
        <v>#N/A N/A</v>
        <stp/>
        <stp>BDP|15135420967219719692</stp>
        <tr r="H33" s="1"/>
      </tp>
      <tp t="s">
        <v>#N/A N/A</v>
        <stp/>
        <stp>BDP|13055104713763807810</stp>
        <tr r="I60" s="1"/>
      </tp>
      <tp t="s">
        <v>#N/A N/A</v>
        <stp/>
        <stp>BDP|11901222717228101208</stp>
        <tr r="H79" s="1"/>
      </tp>
      <tp t="s">
        <v>#N/A N/A</v>
        <stp/>
        <stp>BDP|10029466799713553675</stp>
        <tr r="H325" s="1"/>
      </tp>
      <tp t="s">
        <v>#N/A N/A</v>
        <stp/>
        <stp>BDP|10731690290465443277</stp>
        <tr r="I276" s="1"/>
      </tp>
      <tp t="s">
        <v>#N/A N/A</v>
        <stp/>
        <stp>BDP|11231901368825058366</stp>
        <tr r="I154" s="1"/>
      </tp>
      <tp t="s">
        <v>#N/A N/A</v>
        <stp/>
        <stp>BDP|14165830631675419291</stp>
        <tr r="H9" s="1"/>
      </tp>
      <tp t="s">
        <v>#N/A N/A</v>
        <stp/>
        <stp>BDP|17688089681392169502</stp>
        <tr r="H112" s="1"/>
      </tp>
      <tp t="s">
        <v>#N/A N/A</v>
        <stp/>
        <stp>BDP|13722809214436755452</stp>
        <tr r="H275" s="1"/>
      </tp>
      <tp t="s">
        <v>#N/A N/A</v>
        <stp/>
        <stp>BDP|10289760837769037522</stp>
        <tr r="H363" s="1"/>
      </tp>
      <tp t="s">
        <v>#N/A N/A</v>
        <stp/>
        <stp>BDP|12541775382104658179</stp>
        <tr r="I45" s="1"/>
      </tp>
      <tp t="s">
        <v>#N/A N/A</v>
        <stp/>
        <stp>BDP|15626161898605127083</stp>
        <tr r="I303" s="1"/>
      </tp>
      <tp t="s">
        <v>#N/A N/A</v>
        <stp/>
        <stp>BDP|13604237212659161169</stp>
        <tr r="H57" s="1"/>
      </tp>
      <tp t="s">
        <v>#N/A N/A</v>
        <stp/>
        <stp>BDP|12371765981863785602</stp>
        <tr r="I306" s="1"/>
      </tp>
      <tp t="s">
        <v>#N/A N/A</v>
        <stp/>
        <stp>BDP|12226315194952739227</stp>
        <tr r="H49" s="1"/>
      </tp>
      <tp t="s">
        <v>#N/A N/A</v>
        <stp/>
        <stp>BDP|14046517153904165813</stp>
        <tr r="H279" s="1"/>
      </tp>
      <tp t="s">
        <v>#N/A N/A</v>
        <stp/>
        <stp>BDP|13250355460299201773</stp>
        <tr r="H137" s="1"/>
      </tp>
      <tp t="s">
        <v>#N/A N/A</v>
        <stp/>
        <stp>BDP|14510217312477653856</stp>
        <tr r="I139" s="1"/>
      </tp>
      <tp t="s">
        <v>#N/A N/A</v>
        <stp/>
        <stp>BDP|12325969421848738979</stp>
        <tr r="H214" s="1"/>
      </tp>
      <tp t="s">
        <v>#N/A N/A</v>
        <stp/>
        <stp>BDP|16307261258990909935</stp>
        <tr r="I98" s="1"/>
      </tp>
      <tp t="s">
        <v>#N/A N/A</v>
        <stp/>
        <stp>BDP|17676462129610875968</stp>
        <tr r="H255" s="1"/>
      </tp>
      <tp t="s">
        <v>#N/A N/A</v>
        <stp/>
        <stp>BDP|16248855441541713372</stp>
        <tr r="I325" s="1"/>
      </tp>
      <tp t="s">
        <v>#N/A N/A</v>
        <stp/>
        <stp>BDP|17225191573230618852</stp>
        <tr r="I360" s="1"/>
      </tp>
      <tp t="s">
        <v>#N/A N/A</v>
        <stp/>
        <stp>BDP|17718041799162971583</stp>
        <tr r="H40" s="1"/>
      </tp>
      <tp t="s">
        <v>#N/A N/A</v>
        <stp/>
        <stp>BDP|13972729952719650157</stp>
        <tr r="I112" s="1"/>
      </tp>
      <tp t="s">
        <v>#N/A N/A</v>
        <stp/>
        <stp>BDP|12797834927191853067</stp>
        <tr r="H168" s="1"/>
      </tp>
      <tp t="s">
        <v>#N/A N/A</v>
        <stp/>
        <stp>BDP|13762258477019911619</stp>
        <tr r="H297" s="1"/>
      </tp>
      <tp t="s">
        <v>#N/A N/A</v>
        <stp/>
        <stp>BDP|13611194827408205174</stp>
        <tr r="H43" s="1"/>
      </tp>
      <tp t="s">
        <v>#N/A N/A</v>
        <stp/>
        <stp>BDP|17562780500631272809</stp>
        <tr r="I299" s="1"/>
      </tp>
      <tp t="s">
        <v>#N/A N/A</v>
        <stp/>
        <stp>BDP|12260924547655811310</stp>
        <tr r="I354" s="1"/>
      </tp>
      <tp t="s">
        <v>#N/A N/A</v>
        <stp/>
        <stp>BDP|10659569684226367279</stp>
        <tr r="I274" s="1"/>
      </tp>
      <tp t="s">
        <v>#N/A N/A</v>
        <stp/>
        <stp>BDP|10526953819547927603</stp>
        <tr r="I238" s="1"/>
      </tp>
      <tp t="s">
        <v>#N/A N/A</v>
        <stp/>
        <stp>BDP|12439807555677315111</stp>
        <tr r="I83" s="1"/>
      </tp>
      <tp t="s">
        <v>#N/A N/A</v>
        <stp/>
        <stp>BDP|14410286938004160872</stp>
        <tr r="H148" s="1"/>
      </tp>
      <tp t="s">
        <v>#N/A N/A</v>
        <stp/>
        <stp>BDP|15777211142872013812</stp>
        <tr r="H328" s="1"/>
      </tp>
      <tp t="s">
        <v>#N/A N/A</v>
        <stp/>
        <stp>BDP|10713819323176659573</stp>
        <tr r="I240" s="1"/>
      </tp>
      <tp t="s">
        <v>#N/A N/A</v>
        <stp/>
        <stp>BDP|12092091823598780193</stp>
        <tr r="I222" s="1"/>
      </tp>
      <tp t="s">
        <v>#N/A N/A</v>
        <stp/>
        <stp>BDP|15903388700656306953</stp>
        <tr r="I50" s="1"/>
      </tp>
      <tp t="s">
        <v>#N/A N/A</v>
        <stp/>
        <stp>BDP|16435622996355568535</stp>
        <tr r="H206" s="1"/>
      </tp>
      <tp t="s">
        <v>#N/A N/A</v>
        <stp/>
        <stp>BDP|12996483342989500206</stp>
        <tr r="I32" s="1"/>
      </tp>
      <tp t="s">
        <v>#N/A N/A</v>
        <stp/>
        <stp>BDP|13425976524006981071</stp>
        <tr r="I163" s="1"/>
      </tp>
      <tp t="s">
        <v>#N/A N/A</v>
        <stp/>
        <stp>BDP|15176783116165323857</stp>
        <tr r="H18" s="1"/>
      </tp>
      <tp t="s">
        <v>#N/A N/A</v>
        <stp/>
        <stp>BDP|13557103246819860130</stp>
        <tr r="H289" s="1"/>
      </tp>
      <tp t="s">
        <v>#N/A N/A</v>
        <stp/>
        <stp>BDP|11895702898188342994</stp>
        <tr r="I113" s="1"/>
      </tp>
      <tp t="s">
        <v>#N/A N/A</v>
        <stp/>
        <stp>BDP|15599577291666036198</stp>
        <tr r="I361" s="1"/>
      </tp>
      <tp t="s">
        <v>#N/A N/A</v>
        <stp/>
        <stp>BDP|10915946020500181568</stp>
        <tr r="I65" s="1"/>
      </tp>
      <tp t="s">
        <v>#N/A N/A</v>
        <stp/>
        <stp>BDP|10302850182396872810</stp>
        <tr r="I219" s="1"/>
      </tp>
      <tp t="s">
        <v>#N/A N/A</v>
        <stp/>
        <stp>BDP|10735666592410993165</stp>
        <tr r="H27" s="1"/>
      </tp>
      <tp t="s">
        <v>#N/A N/A</v>
        <stp/>
        <stp>BDP|15614176099286807514</stp>
        <tr r="I350" s="1"/>
      </tp>
      <tp t="s">
        <v>#N/A N/A</v>
        <stp/>
        <stp>BDP|14385035954406606914</stp>
        <tr r="H64" s="1"/>
      </tp>
      <tp t="s">
        <v>#N/A N/A</v>
        <stp/>
        <stp>BDP|17319388717423689882</stp>
        <tr r="I290" s="1"/>
      </tp>
      <tp t="s">
        <v>#N/A N/A</v>
        <stp/>
        <stp>BDP|10786443141056165818</stp>
        <tr r="H60" s="1"/>
      </tp>
      <tp t="s">
        <v>#N/A N/A</v>
        <stp/>
        <stp>BDP|18426417301980666279</stp>
        <tr r="H347" s="1"/>
      </tp>
      <tp t="s">
        <v>#N/A N/A</v>
        <stp/>
        <stp>BDP|15349673598887054388</stp>
        <tr r="H98" s="1"/>
      </tp>
      <tp t="s">
        <v>#N/A N/A</v>
        <stp/>
        <stp>BDP|10719170991770589609</stp>
        <tr r="I237" s="1"/>
      </tp>
      <tp t="s">
        <v>#N/A N/A</v>
        <stp/>
        <stp>BDP|18420729625071669219</stp>
        <tr r="H93" s="1"/>
      </tp>
      <tp t="s">
        <v>#N/A N/A</v>
        <stp/>
        <stp>BDP|12097258049212891837</stp>
        <tr r="I31" s="1"/>
      </tp>
      <tp t="s">
        <v>#N/A N/A</v>
        <stp/>
        <stp>BDP|11185625587607045626</stp>
        <tr r="H113" s="1"/>
      </tp>
      <tp t="s">
        <v>#N/A N/A</v>
        <stp/>
        <stp>BDP|11549948455680451285</stp>
        <tr r="H360" s="1"/>
      </tp>
      <tp t="s">
        <v>#N/A N/A</v>
        <stp/>
        <stp>BDP|10742715038222405923</stp>
        <tr r="I192" s="1"/>
      </tp>
      <tp t="s">
        <v>#N/A N/A</v>
        <stp/>
        <stp>BDP|10939740993108620937</stp>
        <tr r="I273" s="1"/>
      </tp>
      <tp t="s">
        <v>#N/A N/A</v>
        <stp/>
        <stp>BDP|14916312653785579810</stp>
        <tr r="I331" s="1"/>
      </tp>
      <tp t="s">
        <v>#N/A N/A</v>
        <stp/>
        <stp>BDP|17235988563811325654</stp>
        <tr r="I278" s="1"/>
      </tp>
      <tp t="s">
        <v>#N/A N/A</v>
        <stp/>
        <stp>BDP|16309139550055938877</stp>
        <tr r="H99" s="1"/>
      </tp>
      <tp t="s">
        <v>#N/A N/A</v>
        <stp/>
        <stp>BDP|15408273457118429518</stp>
        <tr r="I146" s="1"/>
      </tp>
      <tp t="s">
        <v>#N/A N/A</v>
        <stp/>
        <stp>BDP|10159028911469693751</stp>
        <tr r="I12" s="1"/>
      </tp>
      <tp t="s">
        <v>#N/A N/A</v>
        <stp/>
        <stp>BDP|11273312389454217194</stp>
        <tr r="I365" s="1"/>
      </tp>
      <tp t="s">
        <v>#N/A N/A</v>
        <stp/>
        <stp>BDP|18272705262920656660</stp>
        <tr r="H319" s="1"/>
      </tp>
      <tp t="s">
        <v>#N/A N/A</v>
        <stp/>
        <stp>BDP|18215031420563588666</stp>
        <tr r="H162" s="1"/>
      </tp>
      <tp t="s">
        <v>#N/A N/A</v>
        <stp/>
        <stp>BDP|14593688222889491699</stp>
        <tr r="H29" s="1"/>
      </tp>
      <tp t="s">
        <v>#N/A N/A</v>
        <stp/>
        <stp>BDP|17980100580223264291</stp>
        <tr r="I371" s="1"/>
      </tp>
      <tp t="s">
        <v>#N/A N/A</v>
        <stp/>
        <stp>BDP|15456714872928204279</stp>
        <tr r="H262" s="1"/>
      </tp>
      <tp t="s">
        <v>#N/A N/A</v>
        <stp/>
        <stp>BDP|17177988584359161092</stp>
        <tr r="I235" s="1"/>
      </tp>
      <tp t="s">
        <v>#N/A N/A</v>
        <stp/>
        <stp>BDP|15948950127616956771</stp>
        <tr r="H324" s="1"/>
      </tp>
      <tp t="s">
        <v>#N/A N/A</v>
        <stp/>
        <stp>BDP|13330361339295251997</stp>
        <tr r="I174" s="1"/>
      </tp>
      <tp t="s">
        <v>#N/A N/A</v>
        <stp/>
        <stp>BDP|11125857592636664974</stp>
        <tr r="I242" s="1"/>
      </tp>
      <tp t="s">
        <v>#N/A N/A</v>
        <stp/>
        <stp>BDP|16909537600565875946</stp>
        <tr r="H50" s="1"/>
      </tp>
      <tp t="s">
        <v>#N/A N/A</v>
        <stp/>
        <stp>BDP|18128203402316906033</stp>
        <tr r="H277" s="1"/>
      </tp>
      <tp t="s">
        <v>#N/A N/A</v>
        <stp/>
        <stp>BDP|15342148500660768883</stp>
        <tr r="H295" s="1"/>
      </tp>
      <tp t="s">
        <v>#N/A N/A</v>
        <stp/>
        <stp>BDP|16517246595663704292</stp>
        <tr r="I151" s="1"/>
      </tp>
      <tp t="s">
        <v>#N/A N/A</v>
        <stp/>
        <stp>BDP|13466702195071967055</stp>
        <tr r="I156" s="1"/>
      </tp>
      <tp t="s">
        <v>#N/A N/A</v>
        <stp/>
        <stp>BDP|15718262297687029581</stp>
        <tr r="H233" s="1"/>
      </tp>
      <tp t="s">
        <v>#N/A N/A</v>
        <stp/>
        <stp>BDP|14366934555810632426</stp>
        <tr r="I34" s="1"/>
      </tp>
      <tp t="s">
        <v>#N/A N/A</v>
        <stp/>
        <stp>BDP|14833537647581991855</stp>
        <tr r="I90" s="1"/>
      </tp>
      <tp t="s">
        <v>#N/A N/A</v>
        <stp/>
        <stp>BDP|12530650447649406536</stp>
        <tr r="I259" s="1"/>
      </tp>
      <tp t="s">
        <v>#N/A N/A</v>
        <stp/>
        <stp>BDP|18176123215566285218</stp>
        <tr r="I215" s="1"/>
      </tp>
      <tp t="s">
        <v>#N/A N/A</v>
        <stp/>
        <stp>BDP|10517920862025088609</stp>
        <tr r="I298" s="1"/>
      </tp>
      <tp t="s">
        <v>#N/A N/A</v>
        <stp/>
        <stp>BDP|14448792602286804936</stp>
        <tr r="I158" s="1"/>
      </tp>
      <tp t="s">
        <v>#N/A N/A</v>
        <stp/>
        <stp>BDP|13850082888705722298</stp>
        <tr r="H237" s="1"/>
      </tp>
      <tp t="s">
        <v>#N/A N/A</v>
        <stp/>
        <stp>BDP|15609498665443436886</stp>
        <tr r="H270" s="1"/>
      </tp>
      <tp t="s">
        <v>#N/A N/A</v>
        <stp/>
        <stp>BDP|17779484075611037833</stp>
        <tr r="H30" s="1"/>
      </tp>
      <tp t="s">
        <v>#N/A N/A</v>
        <stp/>
        <stp>BDP|16128606884746539389</stp>
        <tr r="I79" s="1"/>
      </tp>
      <tp t="s">
        <v>#N/A N/A</v>
        <stp/>
        <stp>BDP|15583898107653951393</stp>
        <tr r="I221" s="1"/>
      </tp>
      <tp t="s">
        <v>#N/A N/A</v>
        <stp/>
        <stp>BDP|15143797442662575924</stp>
        <tr r="H189" s="1"/>
      </tp>
      <tp t="s">
        <v>#N/A N/A</v>
        <stp/>
        <stp>BDP|13641109518399788769</stp>
        <tr r="I232" s="1"/>
      </tp>
      <tp t="s">
        <v>#N/A N/A</v>
        <stp/>
        <stp>BDP|17942947815044338655</stp>
        <tr r="I77" s="1"/>
      </tp>
      <tp t="s">
        <v>#N/A N/A</v>
        <stp/>
        <stp>BDP|11571746536030069868</stp>
        <tr r="I75" s="1"/>
      </tp>
      <tp t="s">
        <v>#N/A N/A</v>
        <stp/>
        <stp>BDP|16641420292965098379</stp>
        <tr r="I260" s="1"/>
      </tp>
      <tp t="s">
        <v>#N/A N/A</v>
        <stp/>
        <stp>BDP|14095170891113138266</stp>
        <tr r="I288" s="1"/>
      </tp>
      <tp t="s">
        <v>#N/A N/A</v>
        <stp/>
        <stp>BDP|15521936226903251034</stp>
        <tr r="I125" s="1"/>
      </tp>
      <tp t="s">
        <v>#N/A N/A</v>
        <stp/>
        <stp>BDP|10183635495955316757</stp>
        <tr r="I47" s="1"/>
      </tp>
      <tp t="s">
        <v>#N/A N/A</v>
        <stp/>
        <stp>BDP|17459917916032366009</stp>
        <tr r="I127" s="1"/>
      </tp>
      <tp t="s">
        <v>#N/A N/A</v>
        <stp/>
        <stp>BDP|17885526088283126413</stp>
        <tr r="I108" s="1"/>
      </tp>
      <tp t="s">
        <v>#N/A N/A</v>
        <stp/>
        <stp>BDP|18134238220063569624</stp>
        <tr r="I344" s="1"/>
      </tp>
      <tp t="s">
        <v>#N/A N/A</v>
        <stp/>
        <stp>BDP|14888920739325256647</stp>
        <tr r="H258" s="1"/>
      </tp>
      <tp t="s">
        <v>#N/A N/A</v>
        <stp/>
        <stp>BDP|15349626737828505562</stp>
        <tr r="H321" s="1"/>
      </tp>
      <tp t="s">
        <v>#N/A N/A</v>
        <stp/>
        <stp>BDP|11861517660919864664</stp>
        <tr r="H164" s="1"/>
      </tp>
      <tp t="s">
        <v>#N/A N/A</v>
        <stp/>
        <stp>BDP|14253468766852346969</stp>
        <tr r="H11" s="1"/>
      </tp>
      <tp t="s">
        <v>#N/A N/A</v>
        <stp/>
        <stp>BDP|14082945803571471150</stp>
        <tr r="I42" s="1"/>
      </tp>
      <tp t="s">
        <v>#N/A N/A</v>
        <stp/>
        <stp>BDP|14749172975477883744</stp>
        <tr r="H348" s="1"/>
      </tp>
      <tp t="s">
        <v>#N/A N/A</v>
        <stp/>
        <stp>BDP|11991259704132207337</stp>
        <tr r="H293" s="1"/>
      </tp>
      <tp t="s">
        <v>#N/A N/A</v>
        <stp/>
        <stp>BDP|14938676225127756543</stp>
        <tr r="H228" s="1"/>
      </tp>
      <tp t="s">
        <v>#N/A N/A</v>
        <stp/>
        <stp>BDP|12053784964281499032</stp>
        <tr r="H131" s="1"/>
      </tp>
      <tp t="s">
        <v>#N/A N/A</v>
        <stp/>
        <stp>BDP|13378545234743870415</stp>
        <tr r="H204" s="1"/>
      </tp>
      <tp t="s">
        <v>#N/A N/A</v>
        <stp/>
        <stp>BDP|12129682403442327430</stp>
        <tr r="H217" s="1"/>
      </tp>
      <tp t="s">
        <v>#N/A N/A</v>
        <stp/>
        <stp>BDP|11985075146552604536</stp>
        <tr r="H63" s="1"/>
      </tp>
      <tp t="s">
        <v>#N/A N/A</v>
        <stp/>
        <stp>BDP|10169069848772118416</stp>
        <tr r="I231" s="1"/>
      </tp>
      <tp t="s">
        <v>#N/A N/A</v>
        <stp/>
        <stp>BDP|11368789104576986291</stp>
        <tr r="I228" s="1"/>
      </tp>
      <tp t="s">
        <v>#N/A N/A</v>
        <stp/>
        <stp>BDP|17484738119462355126</stp>
        <tr r="I116" s="1"/>
      </tp>
      <tp t="s">
        <v>#N/A N/A</v>
        <stp/>
        <stp>BDP|17271202564399781803</stp>
        <tr r="H283" s="1"/>
      </tp>
      <tp t="s">
        <v>#N/A N/A</v>
        <stp/>
        <stp>BDP|15907336969680140236</stp>
        <tr r="H61" s="1"/>
      </tp>
      <tp t="s">
        <v>#N/A N/A</v>
        <stp/>
        <stp>BDP|16886878400318705493</stp>
        <tr r="H142" s="1"/>
      </tp>
      <tp t="s">
        <v>#N/A N/A</v>
        <stp/>
        <stp>BDP|18168638822736214826</stp>
        <tr r="I293" s="1"/>
      </tp>
      <tp t="s">
        <v>#N/A N/A</v>
        <stp/>
        <stp>BDP|13571468224972316544</stp>
        <tr r="H196" s="1"/>
      </tp>
      <tp t="s">
        <v>#N/A N/A</v>
        <stp/>
        <stp>BDP|11170568612880034779</stp>
        <tr r="H52" s="1"/>
      </tp>
      <tp t="s">
        <v>#N/A N/A</v>
        <stp/>
        <stp>BDP|14889696267126484005</stp>
        <tr r="H210" s="1"/>
      </tp>
      <tp t="s">
        <v>#N/A N/A</v>
        <stp/>
        <stp>BDP|17495900218854712991</stp>
        <tr r="H144" s="1"/>
      </tp>
      <tp t="s">
        <v>#N/A N/A</v>
        <stp/>
        <stp>BDP|13863727623130272497</stp>
        <tr r="I279" s="1"/>
      </tp>
      <tp t="s">
        <v>#N/A N/A</v>
        <stp/>
        <stp>BDP|14824346365506459582</stp>
        <tr r="I96" s="1"/>
      </tp>
      <tp t="s">
        <v>#N/A N/A</v>
        <stp/>
        <stp>BDP|16471414204216227679</stp>
        <tr r="I209" s="1"/>
      </tp>
      <tp t="s">
        <v>#N/A N/A</v>
        <stp/>
        <stp>BDP|17569355363974343470</stp>
        <tr r="I342" s="1"/>
      </tp>
      <tp t="s">
        <v>#N/A N/A</v>
        <stp/>
        <stp>BDP|11802173179133062602</stp>
        <tr r="I191" s="1"/>
      </tp>
      <tp t="s">
        <v>#N/A N/A</v>
        <stp/>
        <stp>BDP|12620463600545831011</stp>
        <tr r="H200" s="1"/>
      </tp>
      <tp t="s">
        <v>#N/A N/A</v>
        <stp/>
        <stp>BDP|11948543627933463663</stp>
        <tr r="I292" s="1"/>
      </tp>
      <tp t="s">
        <v>#N/A N/A</v>
        <stp/>
        <stp>BDP|18008874842342981547</stp>
        <tr r="H76" s="1"/>
      </tp>
      <tp t="s">
        <v>#N/A N/A</v>
        <stp/>
        <stp>BDP|12578546897354418991</stp>
        <tr r="H84" s="1"/>
      </tp>
      <tp t="s">
        <v>#N/A N/A</v>
        <stp/>
        <stp>BDP|14246227049940704146</stp>
        <tr r="I95" s="1"/>
      </tp>
      <tp t="s">
        <v>#N/A N/A</v>
        <stp/>
        <stp>BDP|13636858738819488258</stp>
        <tr r="H235" s="1"/>
      </tp>
      <tp t="s">
        <v>#N/A N/A</v>
        <stp/>
        <stp>BDP|18333665538826005878</stp>
        <tr r="H121" s="1"/>
      </tp>
      <tp t="s">
        <v>#N/A N/A</v>
        <stp/>
        <stp>BDP|13348144428146473513</stp>
        <tr r="H183" s="1"/>
      </tp>
      <tp t="s">
        <v>#N/A N/A</v>
        <stp/>
        <stp>BDP|15137692402337681714</stp>
        <tr r="I207" s="1"/>
      </tp>
      <tp t="s">
        <v>#N/A N/A</v>
        <stp/>
        <stp>BDP|13293297480583319948</stp>
        <tr r="I35" s="1"/>
      </tp>
      <tp t="s">
        <v>#N/A N/A</v>
        <stp/>
        <stp>BDP|15516564968792415709</stp>
        <tr r="H243" s="1"/>
      </tp>
      <tp t="s">
        <v>#N/A N/A</v>
        <stp/>
        <stp>BDP|11111056530521300080</stp>
        <tr r="I91" s="1"/>
      </tp>
      <tp t="s">
        <v>#N/A N/A</v>
        <stp/>
        <stp>BDP|17006652979753710643</stp>
        <tr r="H220" s="1"/>
      </tp>
      <tp t="s">
        <v>#N/A N/A</v>
        <stp/>
        <stp>BDP|13501968384511190093</stp>
        <tr r="H47" s="1"/>
      </tp>
      <tp t="s">
        <v>#N/A N/A</v>
        <stp/>
        <stp>BDP|14536209499635108930</stp>
        <tr r="I8" s="1"/>
      </tp>
      <tp t="s">
        <v>#N/A N/A</v>
        <stp/>
        <stp>BDP|17383040058452482352</stp>
        <tr r="I369" s="1"/>
      </tp>
      <tp t="s">
        <v>#N/A N/A</v>
        <stp/>
        <stp>BDP|14448494899509672339</stp>
        <tr r="H246" s="1"/>
      </tp>
      <tp t="s">
        <v>#N/A N/A</v>
        <stp/>
        <stp>BDP|16496572102933318331</stp>
        <tr r="I214" s="1"/>
      </tp>
      <tp t="s">
        <v>#N/A N/A</v>
        <stp/>
        <stp>BDP|14677736753372738700</stp>
        <tr r="I190" s="1"/>
      </tp>
      <tp t="s">
        <v>#N/A N/A</v>
        <stp/>
        <stp>BDP|15707978885181105658</stp>
        <tr r="I43" s="1"/>
      </tp>
      <tp t="s">
        <v>#N/A N/A</v>
        <stp/>
        <stp>BDP|11171658045827480756</stp>
        <tr r="I120" s="1"/>
      </tp>
      <tp t="s">
        <v>#N/A N/A</v>
        <stp/>
        <stp>BDP|13167584584098857556</stp>
        <tr r="I162" s="1"/>
      </tp>
      <tp t="s">
        <v>#N/A N/A</v>
        <stp/>
        <stp>BDP|17660613234834476543</stp>
        <tr r="I197" s="1"/>
      </tp>
      <tp t="s">
        <v>#N/A N/A</v>
        <stp/>
        <stp>BDP|14661009945854600765</stp>
        <tr r="H66" s="1"/>
      </tp>
      <tp t="s">
        <v>#N/A N/A</v>
        <stp/>
        <stp>BDP|14369183978861021060</stp>
        <tr r="I189" s="1"/>
      </tp>
      <tp t="s">
        <v>#N/A N/A</v>
        <stp/>
        <stp>BDP|11482659434206386135</stp>
        <tr r="I233" s="1"/>
      </tp>
      <tp t="s">
        <v>#N/A N/A</v>
        <stp/>
        <stp>BDP|12360111512451104059</stp>
        <tr r="H369" s="1"/>
      </tp>
      <tp t="s">
        <v>#N/A N/A</v>
        <stp/>
        <stp>BDP|11217763331824021229</stp>
        <tr r="H150" s="1"/>
      </tp>
      <tp t="s">
        <v>#N/A N/A</v>
        <stp/>
        <stp>BDP|14956626034911245047</stp>
        <tr r="H326" s="1"/>
      </tp>
      <tp t="s">
        <v>#N/A N/A</v>
        <stp/>
        <stp>BDP|14564577724017983466</stp>
        <tr r="H87" s="1"/>
      </tp>
      <tp t="s">
        <v>#N/A N/A</v>
        <stp/>
        <stp>BDP|17935015254060713227</stp>
        <tr r="I355" s="1"/>
      </tp>
      <tp t="s">
        <v>#N/A N/A</v>
        <stp/>
        <stp>BDP|12366069943514854252</stp>
        <tr r="I37" s="1"/>
      </tp>
      <tp t="s">
        <v>#N/A N/A</v>
        <stp/>
        <stp>BDP|13169533392517822835</stp>
        <tr r="H17" s="1"/>
      </tp>
      <tp t="s">
        <v>#N/A N/A</v>
        <stp/>
        <stp>BDP|17441451449433541461</stp>
        <tr r="H188" s="1"/>
      </tp>
      <tp t="s">
        <v>#N/A N/A</v>
        <stp/>
        <stp>BDP|18002192104840708900</stp>
        <tr r="H281" s="1"/>
      </tp>
      <tp t="s">
        <v>#N/A N/A</v>
        <stp/>
        <stp>BDP|12638969690092281080</stp>
        <tr r="I188" s="1"/>
      </tp>
      <tp t="s">
        <v>#N/A N/A</v>
        <stp/>
        <stp>BDP|15774747786822668824</stp>
        <tr r="I175" s="1"/>
      </tp>
      <tp t="s">
        <v>#N/A N/A</v>
        <stp/>
        <stp>BDP|16361649338373966078</stp>
        <tr r="H248" s="1"/>
      </tp>
      <tp t="s">
        <v>#N/A N/A</v>
        <stp/>
        <stp>BDP|17068230440615061426</stp>
        <tr r="I198" s="1"/>
      </tp>
      <tp t="s">
        <v>#N/A N/A</v>
        <stp/>
        <stp>BDP|11632401458804857462</stp>
        <tr r="H309" s="1"/>
      </tp>
      <tp t="s">
        <v>#N/A N/A</v>
        <stp/>
        <stp>BDP|13485094420556964748</stp>
        <tr r="I357" s="1"/>
      </tp>
      <tp t="s">
        <v>#N/A N/A</v>
        <stp/>
        <stp>BDP|16611322964562527162</stp>
        <tr r="I364" s="1"/>
      </tp>
      <tp t="s">
        <v>#N/A N/A</v>
        <stp/>
        <stp>BDP|11682528809231613586</stp>
        <tr r="H165" s="1"/>
      </tp>
      <tp t="s">
        <v>#N/A N/A</v>
        <stp/>
        <stp>BDP|15608478005203709210</stp>
        <tr r="I111" s="1"/>
      </tp>
      <tp t="s">
        <v>#N/A N/A</v>
        <stp/>
        <stp>BDP|10008033282128517060</stp>
        <tr r="I329" s="1"/>
      </tp>
      <tp t="s">
        <v>#N/A N/A</v>
        <stp/>
        <stp>BDP|17857733401230177094</stp>
        <tr r="I14" s="1"/>
      </tp>
      <tp t="s">
        <v>#N/A N/A</v>
        <stp/>
        <stp>BDP|14532048651401175040</stp>
        <tr r="I153" s="1"/>
      </tp>
      <tp t="s">
        <v>#N/A N/A</v>
        <stp/>
        <stp>BDP|16785472767905246106</stp>
        <tr r="H361" s="1"/>
      </tp>
      <tp t="s">
        <v>#N/A N/A</v>
        <stp/>
        <stp>BDP|13752597296007459897</stp>
        <tr r="H191" s="1"/>
      </tp>
      <tp t="s">
        <v>#N/A N/A</v>
        <stp/>
        <stp>BDP|11009055042585726046</stp>
        <tr r="H153" s="1"/>
      </tp>
      <tp t="s">
        <v>#N/A N/A</v>
        <stp/>
        <stp>BDP|10479221990853037817</stp>
        <tr r="H284" s="1"/>
      </tp>
      <tp t="s">
        <v>#N/A N/A</v>
        <stp/>
        <stp>BDP|15766066687528618574</stp>
        <tr r="I44" s="1"/>
      </tp>
      <tp t="s">
        <v>#N/A N/A</v>
        <stp/>
        <stp>BDP|14101820677228061325</stp>
        <tr r="I283" s="1"/>
      </tp>
      <tp t="s">
        <v>#N/A N/A</v>
        <stp/>
        <stp>BDP|14932690783093669931</stp>
        <tr r="I41" s="1"/>
      </tp>
      <tp t="s">
        <v>#N/A N/A</v>
        <stp/>
        <stp>BDP|11436324292823903943</stp>
        <tr r="H56" s="1"/>
      </tp>
      <tp t="s">
        <v>#N/A N/A</v>
        <stp/>
        <stp>BDP|13678877481753888119</stp>
        <tr r="I69" s="1"/>
      </tp>
      <tp t="s">
        <v>#N/A N/A</v>
        <stp/>
        <stp>BDP|17995479199303828871</stp>
        <tr r="I89" s="1"/>
      </tp>
      <tp t="s">
        <v>#N/A N/A</v>
        <stp/>
        <stp>BDP|12524588307935359310</stp>
        <tr r="I210" s="1"/>
      </tp>
      <tp t="s">
        <v>#N/A N/A</v>
        <stp/>
        <stp>BDP|10463258203532025191</stp>
        <tr r="I263" s="1"/>
      </tp>
      <tp t="s">
        <v>#N/A N/A</v>
        <stp/>
        <stp>BDP|16727197160276031650</stp>
        <tr r="I147" s="1"/>
      </tp>
      <tp t="s">
        <v>#N/A N/A</v>
        <stp/>
        <stp>BDP|13818721353652295210</stp>
        <tr r="H119" s="1"/>
      </tp>
      <tp t="s">
        <v>#N/A N/A</v>
        <stp/>
        <stp>BDP|17520806028879975594</stp>
        <tr r="H109" s="1"/>
      </tp>
      <tp t="s">
        <v>#N/A N/A</v>
        <stp/>
        <stp>BDP|14999040553960558068</stp>
        <tr r="H294" s="1"/>
      </tp>
      <tp t="s">
        <v>#N/A N/A</v>
        <stp/>
        <stp>BDP|13347176157375699388</stp>
        <tr r="I249" s="1"/>
      </tp>
      <tp t="s">
        <v>#N/A N/A</v>
        <stp/>
        <stp>BDP|16395540785943986970</stp>
        <tr r="I94" s="1"/>
      </tp>
      <tp t="s">
        <v>#N/A N/A</v>
        <stp/>
        <stp>BDP|10612400949990345136</stp>
        <tr r="H341" s="1"/>
      </tp>
      <tp t="s">
        <v>#N/A N/A</v>
        <stp/>
        <stp>BDP|13335087052313942417</stp>
        <tr r="H55" s="1"/>
      </tp>
      <tp t="s">
        <v>#N/A N/A</v>
        <stp/>
        <stp>BDP|11186383156087713183</stp>
        <tr r="H186" s="1"/>
      </tp>
      <tp t="s">
        <v>#N/A N/A</v>
        <stp/>
        <stp>BDP|13372048137624095508</stp>
        <tr r="H100" s="1"/>
      </tp>
      <tp t="s">
        <v>#N/A N/A</v>
        <stp/>
        <stp>BDP|15728535766721355638</stp>
        <tr r="I243" s="1"/>
      </tp>
      <tp t="s">
        <v>#N/A N/A</v>
        <stp/>
        <stp>BDP|12971798858379507886</stp>
        <tr r="I13" s="1"/>
      </tp>
      <tp t="s">
        <v>#N/A N/A</v>
        <stp/>
        <stp>BDP|11145547862965061607</stp>
        <tr r="H184" s="1"/>
      </tp>
      <tp t="s">
        <v>#N/A N/A</v>
        <stp/>
        <stp>BDP|17272206405314584040</stp>
        <tr r="H260" s="1"/>
      </tp>
      <tp t="s">
        <v>#N/A N/A</v>
        <stp/>
        <stp>BDP|14566324853132655144</stp>
        <tr r="I58" s="1"/>
      </tp>
      <tp t="s">
        <v>#N/A N/A</v>
        <stp/>
        <stp>BDP|11195548780115753847</stp>
        <tr r="I52" s="1"/>
      </tp>
      <tp t="s">
        <v>#N/A N/A</v>
        <stp/>
        <stp>BDP|15434094254611864077</stp>
        <tr r="I217" s="1"/>
      </tp>
      <tp t="s">
        <v>#N/A N/A</v>
        <stp/>
        <stp>BDP|10809702536230082276</stp>
        <tr r="H96" s="1"/>
      </tp>
      <tp t="s">
        <v>#N/A N/A</v>
        <stp/>
        <stp>BDP|12557856289226757271</stp>
        <tr r="I347" s="1"/>
      </tp>
      <tp t="s">
        <v>#N/A N/A</v>
        <stp/>
        <stp>BDP|12786588451035240150</stp>
        <tr r="H161" s="1"/>
      </tp>
      <tp t="s">
        <v>#N/A N/A</v>
        <stp/>
        <stp>BDP|17025101804685889542</stp>
        <tr r="H75" s="1"/>
      </tp>
      <tp t="s">
        <v>#N/A N/A</v>
        <stp/>
        <stp>BDP|11270493041522226506</stp>
        <tr r="I367" s="1"/>
      </tp>
      <tp t="s">
        <v>#N/A N/A</v>
        <stp/>
        <stp>BDP|18239276792845926045</stp>
        <tr r="H251" s="1"/>
      </tp>
      <tp t="s">
        <v>#N/A N/A</v>
        <stp/>
        <stp>BDP|12310877169148687213</stp>
        <tr r="H368" s="1"/>
      </tp>
      <tp t="s">
        <v>#N/A N/A</v>
        <stp/>
        <stp>BDP|13747937383313976745</stp>
        <tr r="H343" s="1"/>
      </tp>
      <tp t="s">
        <v>#N/A N/A</v>
        <stp/>
        <stp>BDP|14287572113311395791</stp>
        <tr r="I23" s="1"/>
      </tp>
      <tp t="s">
        <v>#N/A N/A</v>
        <stp/>
        <stp>BDP|11317021383306865965</stp>
        <tr r="H13" s="1"/>
      </tp>
      <tp t="s">
        <v>#N/A N/A</v>
        <stp/>
        <stp>BDP|17831033257301599563</stp>
        <tr r="I201" s="1"/>
      </tp>
      <tp t="s">
        <v>#N/A N/A</v>
        <stp/>
        <stp>BDP|16246519512274891065</stp>
        <tr r="H34" s="1"/>
      </tp>
      <tp t="s">
        <v>#N/A N/A</v>
        <stp/>
        <stp>BDP|14260760731685932333</stp>
        <tr r="I126" s="1"/>
      </tp>
      <tp t="s">
        <v>#N/A N/A</v>
        <stp/>
        <stp>BDP|16458249228172492230</stp>
        <tr r="I46" s="1"/>
      </tp>
      <tp t="s">
        <v>#N/A N/A</v>
        <stp/>
        <stp>BDP|11595397069116487418</stp>
        <tr r="H332" s="1"/>
      </tp>
      <tp t="s">
        <v>#N/A N/A</v>
        <stp/>
        <stp>BDP|17335429746748124935</stp>
        <tr r="H264" s="1"/>
      </tp>
      <tp t="s">
        <v>#N/A N/A</v>
        <stp/>
        <stp>BDP|14041655520954267230</stp>
        <tr r="I269" s="1"/>
      </tp>
      <tp t="s">
        <v>#N/A N/A</v>
        <stp/>
        <stp>BDP|17456259877127557375</stp>
        <tr r="I196" s="1"/>
      </tp>
      <tp t="s">
        <v>#N/A N/A</v>
        <stp/>
        <stp>BDP|13772482465155685281</stp>
        <tr r="H12" s="1"/>
      </tp>
      <tp t="s">
        <v>#N/A N/A</v>
        <stp/>
        <stp>BDP|16314244043061460741</stp>
        <tr r="H302" s="1"/>
      </tp>
      <tp t="s">
        <v>#N/A N/A</v>
        <stp/>
        <stp>BDP|14986510451982827061</stp>
        <tr r="I323" s="1"/>
      </tp>
      <tp t="s">
        <v>#N/A N/A</v>
        <stp/>
        <stp>BDP|17500987740434951834</stp>
        <tr r="H62" s="1"/>
      </tp>
      <tp t="s">
        <v>#N/A N/A</v>
        <stp/>
        <stp>BDP|16316110152595172167</stp>
        <tr r="H8" s="1"/>
      </tp>
      <tp t="s">
        <v>#N/A N/A</v>
        <stp/>
        <stp>BDP|10799803027319758508</stp>
        <tr r="I128" s="1"/>
      </tp>
      <tp t="s">
        <v>#N/A N/A</v>
        <stp/>
        <stp>BDP|16241957690777941781</stp>
        <tr r="I255" s="1"/>
      </tp>
      <tp t="s">
        <v>#N/A N/A</v>
        <stp/>
        <stp>BDP|15147191616860673217</stp>
        <tr r="I161" s="1"/>
      </tp>
      <tp t="s">
        <v>#N/A N/A</v>
        <stp/>
        <stp>BDP|18117838955780864271</stp>
        <tr r="H285" s="1"/>
      </tp>
      <tp t="s">
        <v>#N/A N/A</v>
        <stp/>
        <stp>BDP|11182786514665134565</stp>
        <tr r="I308" s="1"/>
      </tp>
      <tp t="s">
        <v>#N/A N/A</v>
        <stp/>
        <stp>BDP|13657210516037340083</stp>
        <tr r="H83" s="1"/>
      </tp>
      <tp t="s">
        <v>#N/A N/A</v>
        <stp/>
        <stp>BDP|11239285257224347526</stp>
        <tr r="H320" s="1"/>
      </tp>
      <tp t="s">
        <v>#N/A N/A</v>
        <stp/>
        <stp>BDP|12757604348973699457</stp>
        <tr r="H367" s="1"/>
      </tp>
      <tp t="s">
        <v>#N/A N/A</v>
        <stp/>
        <stp>BDP|10357454439739297923</stp>
        <tr r="I171" s="1"/>
      </tp>
      <tp t="s">
        <v>#N/A N/A</v>
        <stp/>
        <stp>BDP|12398654638752526255</stp>
        <tr r="I167" s="1"/>
      </tp>
      <tp t="s">
        <v>#N/A N/A</v>
        <stp/>
        <stp>BDP|11188314666824955714</stp>
        <tr r="I129" s="1"/>
      </tp>
      <tp t="s">
        <v>#N/A N/A</v>
        <stp/>
        <stp>BDP|12611598724481828327</stp>
        <tr r="H21" s="1"/>
      </tp>
      <tp t="s">
        <v>#N/A N/A</v>
        <stp/>
        <stp>BDP|17622863039363801801</stp>
        <tr r="H265" s="1"/>
      </tp>
      <tp t="s">
        <v>#N/A N/A</v>
        <stp/>
        <stp>BDP|17902688757726275549</stp>
        <tr r="H80" s="1"/>
      </tp>
      <tp t="s">
        <v>#N/A N/A</v>
        <stp/>
        <stp>BDP|16441395160242878674</stp>
        <tr r="I51" s="1"/>
      </tp>
      <tp t="s">
        <v>#N/A N/A</v>
        <stp/>
        <stp>BDP|12378095638474448211</stp>
        <tr r="H247" s="1"/>
      </tp>
      <tp t="s">
        <v>#N/A N/A</v>
        <stp/>
        <stp>BDP|12450621217834081667</stp>
        <tr r="H128" s="1"/>
      </tp>
      <tp t="s">
        <v>#N/A N/A</v>
        <stp/>
        <stp>BDP|14871798077105674663</stp>
        <tr r="I54" s="1"/>
      </tp>
      <tp t="s">
        <v>#N/A N/A</v>
        <stp/>
        <stp>BDP|10501340501816617200</stp>
        <tr r="H322" s="1"/>
      </tp>
      <tp t="s">
        <v>#N/A N/A</v>
        <stp/>
        <stp>BDP|16502038410205361538</stp>
        <tr r="H304" s="1"/>
      </tp>
      <tp t="s">
        <v>#N/A N/A</v>
        <stp/>
        <stp>BDP|12604777278810924695</stp>
        <tr r="I178" s="1"/>
      </tp>
      <tp t="s">
        <v>#N/A N/A</v>
        <stp/>
        <stp>BDP|17179912539058257120</stp>
        <tr r="I63" s="1"/>
      </tp>
      <tp t="s">
        <v>#N/A N/A</v>
        <stp/>
        <stp>BDP|12206780962421664667</stp>
        <tr r="I252" s="1"/>
      </tp>
      <tp t="s">
        <v>#N/A N/A</v>
        <stp/>
        <stp>BDP|12855609532417825491</stp>
        <tr r="I270" s="1"/>
      </tp>
      <tp t="s">
        <v>#N/A N/A</v>
        <stp/>
        <stp>BDP|10104226280318117697</stp>
        <tr r="H354" s="1"/>
      </tp>
      <tp t="s">
        <v>#N/A N/A</v>
        <stp/>
        <stp>BDP|11953209162533376239</stp>
        <tr r="I267" s="1"/>
      </tp>
      <tp t="s">
        <v>#N/A N/A</v>
        <stp/>
        <stp>BDP|10816168680145068837</stp>
        <tr r="I122" s="1"/>
      </tp>
      <tp t="s">
        <v>#N/A N/A</v>
        <stp/>
        <stp>BDP|14429121169964779377</stp>
        <tr r="H172" s="1"/>
      </tp>
      <tp t="s">
        <v>#N/A N/A</v>
        <stp/>
        <stp>BDP|10655360832110513489</stp>
        <tr r="H229" s="1"/>
      </tp>
      <tp t="s">
        <v>#N/A N/A</v>
        <stp/>
        <stp>BDP|11743597131184851780</stp>
        <tr r="I373" s="1"/>
      </tp>
      <tp t="s">
        <v>#N/A N/A</v>
        <stp/>
        <stp>BDP|12828730954961982580</stp>
        <tr r="I261" s="1"/>
      </tp>
      <tp t="s">
        <v>#N/A N/A</v>
        <stp/>
        <stp>BDP|12626508558876795094</stp>
        <tr r="H239" s="1"/>
      </tp>
      <tp t="s">
        <v>#N/A N/A</v>
        <stp/>
        <stp>BDP|16175701985285590823</stp>
        <tr r="H296" s="1"/>
      </tp>
      <tp t="s">
        <v>#N/A N/A</v>
        <stp/>
        <stp>BDP|14358954025059246223</stp>
        <tr r="H89" s="1"/>
      </tp>
      <tp t="s">
        <v>#N/A N/A</v>
        <stp/>
        <stp>BDP|14286659603131758715</stp>
        <tr r="H349" s="1"/>
      </tp>
      <tp t="s">
        <v>#N/A N/A</v>
        <stp/>
        <stp>BDP|12906005797876997953</stp>
        <tr r="H199" s="1"/>
      </tp>
      <tp t="s">
        <v>#N/A N/A</v>
        <stp/>
        <stp>BDP|14920883960596561865</stp>
        <tr r="I258" s="1"/>
      </tp>
      <tp t="s">
        <v>#N/A N/A</v>
        <stp/>
        <stp>BDP|17038349389768103088</stp>
        <tr r="H156" s="1"/>
      </tp>
      <tp t="s">
        <v>#N/A N/A</v>
        <stp/>
        <stp>BDP|13926599409251822377</stp>
        <tr r="I18" s="1"/>
      </tp>
      <tp t="s">
        <v>#N/A N/A</v>
        <stp/>
        <stp>BDP|17400488263744539435</stp>
        <tr r="H310" s="1"/>
      </tp>
      <tp t="s">
        <v>#N/A N/A</v>
        <stp/>
        <stp>BDP|17893157750476268077</stp>
        <tr r="I25" s="1"/>
      </tp>
      <tp t="s">
        <v>#N/A N/A</v>
        <stp/>
        <stp>BDP|10194746139080163153</stp>
        <tr r="H187" s="1"/>
      </tp>
      <tp t="s">
        <v>#N/A N/A</v>
        <stp/>
        <stp>BDP|15605635746674080681</stp>
        <tr r="I152" s="1"/>
      </tp>
      <tp t="s">
        <v>#N/A N/A</v>
        <stp/>
        <stp>BDP|12440870552783355998</stp>
        <tr r="I169" s="1"/>
      </tp>
      <tp t="s">
        <v>#N/A N/A</v>
        <stp/>
        <stp>BDP|13125366842568782983</stp>
        <tr r="H373" s="1"/>
      </tp>
      <tp t="s">
        <v>#N/A N/A</v>
        <stp/>
        <stp>BDP|11112765123870650180</stp>
        <tr r="H300" s="1"/>
      </tp>
      <tp t="s">
        <v>#N/A N/A</v>
        <stp/>
        <stp>BDP|12174288052308083815</stp>
        <tr r="I265" s="1"/>
      </tp>
      <tp t="s">
        <v>#N/A N/A</v>
        <stp/>
        <stp>BDP|12856604532793766111</stp>
        <tr r="I20" s="1"/>
      </tp>
      <tp t="s">
        <v>#N/A N/A</v>
        <stp/>
        <stp>BDP|14992234757490798659</stp>
        <tr r="H245" s="1"/>
      </tp>
      <tp t="s">
        <v>#N/A N/A</v>
        <stp/>
        <stp>BDP|17228498341414035655</stp>
        <tr r="I334" s="1"/>
      </tp>
      <tp t="s">
        <v>#N/A N/A</v>
        <stp/>
        <stp>BDP|10436043632147407199</stp>
        <tr r="I328" s="1"/>
      </tp>
      <tp t="s">
        <v>#N/A N/A</v>
        <stp/>
        <stp>BDP|13824014800704036264</stp>
        <tr r="H345" s="1"/>
      </tp>
      <tp t="s">
        <v>#N/A N/A</v>
        <stp/>
        <stp>BDP|14600480601766454344</stp>
        <tr r="H111" s="1"/>
      </tp>
      <tp t="s">
        <v>#N/A N/A</v>
        <stp/>
        <stp>BDP|11936838982676487228</stp>
        <tr r="I321" s="1"/>
      </tp>
      <tp t="s">
        <v>#N/A N/A</v>
        <stp/>
        <stp>BDP|10122764134200598175</stp>
        <tr r="I281" s="1"/>
      </tp>
      <tp t="s">
        <v>#N/A N/A</v>
        <stp/>
        <stp>BDP|12888179258485465639</stp>
        <tr r="H71" s="1"/>
      </tp>
      <tp t="s">
        <v>#N/A N/A</v>
        <stp/>
        <stp>BDP|14639318157497255029</stp>
        <tr r="I38" s="1"/>
      </tp>
      <tp t="s">
        <v>#N/A N/A</v>
        <stp/>
        <stp>BDP|16764950112198074307</stp>
        <tr r="H366" s="1"/>
      </tp>
      <tp t="s">
        <v>#N/A N/A</v>
        <stp/>
        <stp>BDP|16437932364295139927</stp>
        <tr r="I246" s="1"/>
      </tp>
      <tp t="s">
        <v>#N/A N/A</v>
        <stp/>
        <stp>BDP|14473497587255373893</stp>
        <tr r="H167" s="1"/>
      </tp>
      <tp t="s">
        <v>#N/A N/A</v>
        <stp/>
        <stp>BDP|11258478323767349563</stp>
        <tr r="I318" s="1"/>
      </tp>
      <tp t="s">
        <v>#N/A N/A</v>
        <stp/>
        <stp>BDP|14893114939121769229</stp>
        <tr r="I324" s="1"/>
      </tp>
      <tp t="s">
        <v>#N/A N/A</v>
        <stp/>
        <stp>BDP|13296098215236289181</stp>
        <tr r="I78" s="1"/>
      </tp>
      <tp t="s">
        <v>#N/A N/A</v>
        <stp/>
        <stp>BDP|13890192104211519641</stp>
        <tr r="H218" s="1"/>
      </tp>
      <tp t="s">
        <v>#N/A N/A</v>
        <stp/>
        <stp>BDP|17034646840778543858</stp>
        <tr r="H146" s="1"/>
      </tp>
      <tp t="s">
        <v>#N/A N/A</v>
        <stp/>
        <stp>BDP|11256835683440119443</stp>
        <tr r="H46" s="1"/>
      </tp>
      <tp t="s">
        <v>#N/A N/A</v>
        <stp/>
        <stp>BDP|12506640813528176855</stp>
        <tr r="I284" s="1"/>
      </tp>
    </main>
    <main first="bofaddin.rtdserver">
      <tp t="s">
        <v>#N/A N/A</v>
        <stp/>
        <stp>BDP|3414883685811110</stp>
        <tr r="I57" s="1"/>
      </tp>
      <tp t="s">
        <v>#N/A N/A</v>
        <stp/>
        <stp>BDP|9293734010022885</stp>
        <tr r="H269" s="1"/>
      </tp>
      <tp t="s">
        <v>#N/A N/A</v>
        <stp/>
        <stp>BDP|3789838750822726090</stp>
        <tr r="H41" s="1"/>
      </tp>
      <tp t="s">
        <v>#N/A N/A</v>
        <stp/>
        <stp>BDP|4974151054375162930</stp>
        <tr r="H68" s="1"/>
      </tp>
      <tp t="s">
        <v>#N/A N/A</v>
        <stp/>
        <stp>BDP|4533118134082341887</stp>
        <tr r="I76" s="1"/>
      </tp>
      <tp t="s">
        <v>#N/A N/A</v>
        <stp/>
        <stp>BDP|4102490350210037902</stp>
        <tr r="H226" s="1"/>
      </tp>
      <tp t="s">
        <v>#N/A N/A</v>
        <stp/>
        <stp>BDP|8926217167339359946</stp>
        <tr r="I21" s="1"/>
      </tp>
      <tp t="s">
        <v>#N/A N/A</v>
        <stp/>
        <stp>BDP|9121679916513746186</stp>
        <tr r="I272" s="1"/>
      </tp>
      <tp t="s">
        <v>#N/A N/A</v>
        <stp/>
        <stp>BDP|9945510266517839191</stp>
        <tr r="H169" s="1"/>
      </tp>
      <tp t="s">
        <v>#N/A N/A</v>
        <stp/>
        <stp>BDP|7215130532778695197</stp>
        <tr r="I241" s="1"/>
      </tp>
      <tp t="s">
        <v>#N/A N/A</v>
        <stp/>
        <stp>BDP|8514751839700781032</stp>
        <tr r="I22" s="1"/>
      </tp>
      <tp t="s">
        <v>#N/A N/A</v>
        <stp/>
        <stp>BDP|9680736112496361599</stp>
        <tr r="H181" s="1"/>
      </tp>
      <tp t="s">
        <v>#N/A N/A</v>
        <stp/>
        <stp>BDP|6810887654057103081</stp>
        <tr r="I345" s="1"/>
      </tp>
      <tp t="s">
        <v>#N/A N/A</v>
        <stp/>
        <stp>BDP|8822247317103076498</stp>
        <tr r="H335" s="1"/>
      </tp>
      <tp t="s">
        <v>#N/A N/A</v>
        <stp/>
        <stp>BDP|8599427207284977492</stp>
        <tr r="H31" s="1"/>
      </tp>
      <tp t="s">
        <v>#N/A N/A</v>
        <stp/>
        <stp>BDP|6411382741879917457</stp>
        <tr r="I157" s="1"/>
      </tp>
      <tp t="s">
        <v>#N/A N/A</v>
        <stp/>
        <stp>BDP|6845116979575679974</stp>
        <tr r="I56" s="1"/>
      </tp>
      <tp t="s">
        <v>#N/A N/A</v>
        <stp/>
        <stp>BDP|4100637161639796128</stp>
        <tr r="I327" s="1"/>
      </tp>
      <tp t="s">
        <v>#N/A N/A</v>
        <stp/>
        <stp>BDP|8543528526470740311</stp>
        <tr r="I15" s="1"/>
      </tp>
      <tp t="s">
        <v>#N/A N/A</v>
        <stp/>
        <stp>BDP|6295429712488571734</stp>
        <tr r="H288" s="1"/>
      </tp>
      <tp t="s">
        <v>#N/A N/A</v>
        <stp/>
        <stp>BDP|4457619070731098808</stp>
        <tr r="I182" s="1"/>
      </tp>
      <tp t="s">
        <v>#N/A N/A</v>
        <stp/>
        <stp>BDP|5154068790349165935</stp>
        <tr r="H90" s="1"/>
      </tp>
      <tp t="s">
        <v>#N/A N/A</v>
        <stp/>
        <stp>BDP|4756627993593299412</stp>
        <tr r="I39" s="1"/>
      </tp>
      <tp t="s">
        <v>#N/A N/A</v>
        <stp/>
        <stp>BDP|4955067921909345256</stp>
        <tr r="H126" s="1"/>
      </tp>
      <tp t="s">
        <v>#N/A N/A</v>
        <stp/>
        <stp>BDP|8286159900680076484</stp>
        <tr r="I97" s="1"/>
      </tp>
      <tp t="s">
        <v>#N/A N/A</v>
        <stp/>
        <stp>BDP|9041635002664714692</stp>
        <tr r="I205" s="1"/>
      </tp>
      <tp t="s">
        <v>#N/A N/A</v>
        <stp/>
        <stp>BDP|6175547151192556939</stp>
        <tr r="I202" s="1"/>
      </tp>
      <tp t="s">
        <v>#N/A N/A</v>
        <stp/>
        <stp>BDP|6278133273308100517</stp>
        <tr r="H257" s="1"/>
      </tp>
      <tp t="s">
        <v>#N/A N/A</v>
        <stp/>
        <stp>BDP|4732932948371946571</stp>
        <tr r="H173" s="1"/>
      </tp>
      <tp t="s">
        <v>#N/A N/A</v>
        <stp/>
        <stp>BDP|9033329759602136097</stp>
        <tr r="I335" s="1"/>
      </tp>
      <tp t="s">
        <v>#N/A N/A</v>
        <stp/>
        <stp>BDP|2297518306559110375</stp>
        <tr r="I193" s="1"/>
      </tp>
      <tp t="s">
        <v>#N/A N/A</v>
        <stp/>
        <stp>BDP|3749826503080490627</stp>
        <tr r="H301" s="1"/>
      </tp>
      <tp t="s">
        <v>#N/A N/A</v>
        <stp/>
        <stp>BDP|5637153957384768839</stp>
        <tr r="H16" s="1"/>
      </tp>
      <tp t="s">
        <v>#N/A N/A</v>
        <stp/>
        <stp>BDP|7998579790295905370</stp>
        <tr r="H273" s="1"/>
      </tp>
      <tp t="s">
        <v>#N/A N/A</v>
        <stp/>
        <stp>BDP|5310840655363270618</stp>
        <tr r="I183" s="1"/>
      </tp>
      <tp t="s">
        <v>#N/A N/A</v>
        <stp/>
        <stp>BDP|4647549351571669843</stp>
        <tr r="H231" s="1"/>
      </tp>
      <tp t="s">
        <v>#N/A N/A</v>
        <stp/>
        <stp>BDP|5510626674308432106</stp>
        <tr r="H15" s="1"/>
      </tp>
      <tp t="s">
        <v>#N/A N/A</v>
        <stp/>
        <stp>BDP|4177375702679179320</stp>
        <tr r="H364" s="1"/>
      </tp>
      <tp t="s">
        <v>#N/A N/A</v>
        <stp/>
        <stp>BDP|3149134831189714506</stp>
        <tr r="H5" s="1"/>
      </tp>
      <tp t="s">
        <v>#N/A N/A</v>
        <stp/>
        <stp>BDP|3868293841788698032</stp>
        <tr r="H42" s="1"/>
      </tp>
      <tp t="s">
        <v>#N/A N/A</v>
        <stp/>
        <stp>BDP|6237963440946752067</stp>
        <tr r="H236" s="1"/>
      </tp>
      <tp t="s">
        <v>#N/A N/A</v>
        <stp/>
        <stp>BDP|5079463180981253517</stp>
        <tr r="H225" s="1"/>
      </tp>
      <tp t="s">
        <v>#N/A N/A</v>
        <stp/>
        <stp>BDP|8072639238170983075</stp>
        <tr r="I277" s="1"/>
      </tp>
      <tp t="s">
        <v>#N/A N/A</v>
        <stp/>
        <stp>BDP|6206050594138983901</stp>
        <tr r="H198" s="1"/>
      </tp>
      <tp t="s">
        <v>#N/A N/A</v>
        <stp/>
        <stp>BDP|4840041910663384845</stp>
        <tr r="H67" s="1"/>
      </tp>
      <tp t="s">
        <v>#N/A N/A</v>
        <stp/>
        <stp>BDP|6212771428648613506</stp>
        <tr r="H250" s="1"/>
      </tp>
      <tp t="s">
        <v>#N/A N/A</v>
        <stp/>
        <stp>BDP|3897869913453095750</stp>
        <tr r="H350" s="1"/>
      </tp>
      <tp t="s">
        <v>#N/A N/A</v>
        <stp/>
        <stp>BDP|9091489143672533564</stp>
        <tr r="I16" s="1"/>
      </tp>
      <tp t="s">
        <v>#N/A N/A</v>
        <stp/>
        <stp>BDP|9362480616077319563</stp>
        <tr r="I137" s="1"/>
      </tp>
      <tp t="s">
        <v>#N/A N/A</v>
        <stp/>
        <stp>BDP|8025615538380648376</stp>
        <tr r="I208" s="1"/>
      </tp>
      <tp t="s">
        <v>#N/A N/A</v>
        <stp/>
        <stp>BDP|2972792947679089686</stp>
        <tr r="I338" s="1"/>
      </tp>
      <tp t="s">
        <v>#N/A N/A</v>
        <stp/>
        <stp>BDP|9578427723597865633</stp>
        <tr r="H219" s="1"/>
      </tp>
      <tp t="s">
        <v>#N/A N/A</v>
        <stp/>
        <stp>BDP|2131762982216147588</stp>
        <tr r="H36" s="1"/>
      </tp>
      <tp t="s">
        <v>#N/A N/A</v>
        <stp/>
        <stp>BDP|7093719604086126891</stp>
        <tr r="I218" s="1"/>
      </tp>
      <tp t="s">
        <v>#N/A N/A</v>
        <stp/>
        <stp>BDP|5469061651776781863</stp>
        <tr r="I346" s="1"/>
      </tp>
      <tp t="s">
        <v>#N/A N/A</v>
        <stp/>
        <stp>BDP|5111835022983624243</stp>
        <tr r="H136" s="1"/>
      </tp>
      <tp t="s">
        <v>#N/A N/A</v>
        <stp/>
        <stp>BDP|2387251785562674474</stp>
        <tr r="I289" s="1"/>
      </tp>
      <tp t="s">
        <v>#N/A N/A</v>
        <stp/>
        <stp>BDP|7389531054688216155</stp>
        <tr r="H127" s="1"/>
      </tp>
      <tp t="s">
        <v>#N/A N/A</v>
        <stp/>
        <stp>BDP|2676168888521998411</stp>
        <tr r="H149" s="1"/>
      </tp>
      <tp t="s">
        <v>#N/A N/A</v>
        <stp/>
        <stp>BDP|4291124991943083164</stp>
        <tr r="H323" s="1"/>
      </tp>
      <tp t="s">
        <v>#N/A N/A</v>
        <stp/>
        <stp>BDP|5485737095645568004</stp>
        <tr r="H329" s="1"/>
      </tp>
      <tp t="s">
        <v>#N/A N/A</v>
        <stp/>
        <stp>BDP|2208118186370850595</stp>
        <tr r="I234" s="1"/>
      </tp>
      <tp t="s">
        <v>#N/A N/A</v>
        <stp/>
        <stp>BDP|7398868653305761145</stp>
        <tr r="I92" s="1"/>
      </tp>
      <tp t="s">
        <v>#N/A N/A</v>
        <stp/>
        <stp>BDP|8656186130160943426</stp>
        <tr r="I275" s="1"/>
      </tp>
      <tp t="s">
        <v>#N/A N/A</v>
        <stp/>
        <stp>BDP|8102283049646614636</stp>
        <tr r="H38" s="1"/>
      </tp>
      <tp t="s">
        <v>#N/A N/A</v>
        <stp/>
        <stp>BDP|9960325966886306556</stp>
        <tr r="I117" s="1"/>
      </tp>
      <tp t="s">
        <v>#N/A N/A</v>
        <stp/>
        <stp>BDP|4698158396212841162</stp>
        <tr r="I199" s="1"/>
      </tp>
      <tp t="s">
        <v>#N/A N/A</v>
        <stp/>
        <stp>BDP|1922902689549990673</stp>
        <tr r="H74" s="1"/>
      </tp>
      <tp t="s">
        <v>#N/A N/A</v>
        <stp/>
        <stp>BDP|2586231838538548456</stp>
        <tr r="I106" s="1"/>
      </tp>
      <tp t="s">
        <v>#N/A N/A</v>
        <stp/>
        <stp>BDP|1095515651987665998</stp>
        <tr r="I64" s="1"/>
      </tp>
      <tp t="s">
        <v>#N/A N/A</v>
        <stp/>
        <stp>BDP|1149729785057945609</stp>
        <tr r="I101" s="1"/>
      </tp>
      <tp t="s">
        <v>#N/A N/A</v>
        <stp/>
        <stp>BDP|3665696292344617761</stp>
        <tr r="H240" s="1"/>
      </tp>
      <tp t="s">
        <v>#N/A N/A</v>
        <stp/>
        <stp>BDP|3497108844588568179</stp>
        <tr r="I254" s="1"/>
      </tp>
      <tp t="s">
        <v>#N/A N/A</v>
        <stp/>
        <stp>BDP|5410271434342308969</stp>
        <tr r="H140" s="1"/>
      </tp>
      <tp t="s">
        <v>#N/A N/A</v>
        <stp/>
        <stp>BDP|7671007220683287973</stp>
        <tr r="I257" s="1"/>
      </tp>
      <tp t="s">
        <v>#N/A N/A</v>
        <stp/>
        <stp>BDP|6460295431411799982</stp>
        <tr r="H201" s="1"/>
      </tp>
      <tp t="s">
        <v>#N/A N/A</v>
        <stp/>
        <stp>BDP|9289681322987864536</stp>
        <tr r="H77" s="1"/>
      </tp>
      <tp t="s">
        <v>#N/A N/A</v>
        <stp/>
        <stp>BDP|2648365780426284045</stp>
        <tr r="H104" s="1"/>
      </tp>
      <tp t="s">
        <v>#N/A N/A</v>
        <stp/>
        <stp>BDP|3169300031958158478</stp>
        <tr r="H159" s="1"/>
      </tp>
      <tp t="s">
        <v>#N/A N/A</v>
        <stp/>
        <stp>BDP|6574016524658153363</stp>
        <tr r="H129" s="1"/>
      </tp>
      <tp t="s">
        <v>#N/A N/A</v>
        <stp/>
        <stp>BDP|4319777408829800539</stp>
        <tr r="H28" s="1"/>
      </tp>
      <tp t="s">
        <v>#N/A N/A</v>
        <stp/>
        <stp>BDP|3789928660950873397</stp>
        <tr r="H291" s="1"/>
      </tp>
      <tp t="s">
        <v>#N/A N/A</v>
        <stp/>
        <stp>BDP|7446313231371823989</stp>
        <tr r="H358" s="1"/>
      </tp>
      <tp t="s">
        <v>#N/A N/A</v>
        <stp/>
        <stp>BDP|8622186577229543894</stp>
        <tr r="I362" s="1"/>
      </tp>
      <tp t="s">
        <v>#N/A N/A</v>
        <stp/>
        <stp>BDP|8706187451376215267</stp>
        <tr r="I67" s="1"/>
      </tp>
      <tp t="s">
        <v>#N/A N/A</v>
        <stp/>
        <stp>BDP|4854817244572078255</stp>
        <tr r="H351" s="1"/>
      </tp>
      <tp t="s">
        <v>#N/A N/A</v>
        <stp/>
        <stp>BDP|1037503012475830830</stp>
        <tr r="H110" s="1"/>
      </tp>
      <tp t="s">
        <v>#N/A N/A</v>
        <stp/>
        <stp>BDP|9730248556604973232</stp>
        <tr r="H58" s="1"/>
      </tp>
      <tp t="s">
        <v>#N/A N/A</v>
        <stp/>
        <stp>BDP|5825936765771881397</stp>
        <tr r="H371" s="1"/>
      </tp>
      <tp t="s">
        <v>#N/A N/A</v>
        <stp/>
        <stp>BDP|6182479047879749741</stp>
        <tr r="I307" s="1"/>
      </tp>
      <tp t="s">
        <v>#N/A N/A</v>
        <stp/>
        <stp>BDP|7487183593033934446</stp>
        <tr r="H19" s="1"/>
      </tp>
      <tp t="s">
        <v>#N/A N/A</v>
        <stp/>
        <stp>BDP|6303465236469819093</stp>
        <tr r="I133" s="1"/>
      </tp>
      <tp t="s">
        <v>#N/A N/A</v>
        <stp/>
        <stp>BDP|2270173582071156247</stp>
        <tr r="H69" s="1"/>
      </tp>
      <tp t="s">
        <v>#N/A N/A</v>
        <stp/>
        <stp>BDP|8547861596184419529</stp>
        <tr r="I103" s="1"/>
      </tp>
      <tp t="s">
        <v>#N/A N/A</v>
        <stp/>
        <stp>BDP|7930967373244525587</stp>
        <tr r="H318" s="1"/>
      </tp>
      <tp t="s">
        <v>#N/A N/A</v>
        <stp/>
        <stp>BDP|3827816348065643262</stp>
        <tr r="H252" s="1"/>
      </tp>
      <tp t="s">
        <v>#N/A N/A</v>
        <stp/>
        <stp>BDP|9696053203790525149</stp>
        <tr r="I248" s="1"/>
      </tp>
      <tp t="s">
        <v>#N/A N/A</v>
        <stp/>
        <stp>BDP|3239121114392136928</stp>
        <tr r="H118" s="1"/>
      </tp>
      <tp t="s">
        <v>#N/A N/A</v>
        <stp/>
        <stp>BDP|8354629007520053611</stp>
        <tr r="H212" s="1"/>
      </tp>
      <tp t="s">
        <v>#N/A N/A</v>
        <stp/>
        <stp>BDP|7301080715747821914</stp>
        <tr r="I204" s="1"/>
      </tp>
      <tp t="s">
        <v>#N/A N/A</v>
        <stp/>
        <stp>BDP|6824911133015904144</stp>
        <tr r="I195" s="1"/>
      </tp>
      <tp t="s">
        <v>#N/A N/A</v>
        <stp/>
        <stp>BDP|3863284426623065830</stp>
        <tr r="H10" s="1"/>
      </tp>
      <tp t="s">
        <v>#N/A N/A</v>
        <stp/>
        <stp>BDP|2926461995944109214</stp>
        <tr r="I212" s="1"/>
      </tp>
      <tp t="s">
        <v>#N/A N/A</v>
        <stp/>
        <stp>BDP|3266763940529766098</stp>
        <tr r="I27" s="1"/>
      </tp>
      <tp t="s">
        <v>#N/A N/A</v>
        <stp/>
        <stp>BDP|5167559368179302658</stp>
        <tr r="H101" s="1"/>
      </tp>
      <tp t="s">
        <v>#N/A N/A</v>
        <stp/>
        <stp>BDP|9871817301208311015</stp>
        <tr r="I36" s="1"/>
      </tp>
      <tp t="s">
        <v>#N/A N/A</v>
        <stp/>
        <stp>BDP|4899379786376499065</stp>
        <tr r="H178" s="1"/>
      </tp>
      <tp t="s">
        <v>#N/A N/A</v>
        <stp/>
        <stp>BDP|6846300822699571775</stp>
        <tr r="H276" s="1"/>
      </tp>
      <tp t="s">
        <v>#N/A N/A</v>
        <stp/>
        <stp>BDP|5896077001924118874</stp>
        <tr r="I70" s="1"/>
      </tp>
      <tp t="s">
        <v>#N/A N/A</v>
        <stp/>
        <stp>BDP|8511047809265604411</stp>
        <tr r="I55" s="1"/>
      </tp>
      <tp t="s">
        <v>#N/A N/A</v>
        <stp/>
        <stp>BDP|3652713391042327696</stp>
        <tr r="H132" s="1"/>
      </tp>
      <tp t="s">
        <v>#N/A N/A</v>
        <stp/>
        <stp>BDP|8280326929066440618</stp>
        <tr r="H170" s="1"/>
      </tp>
      <tp t="s">
        <v>#N/A N/A</v>
        <stp/>
        <stp>BDP|8941283249127896033</stp>
        <tr r="I271" s="1"/>
      </tp>
      <tp t="s">
        <v>#N/A N/A</v>
        <stp/>
        <stp>BDP|7198072353728221340</stp>
        <tr r="H157" s="1"/>
      </tp>
      <tp t="s">
        <v>#N/A N/A</v>
        <stp/>
        <stp>BDP|3614455034074081948</stp>
        <tr r="I11" s="1"/>
      </tp>
      <tp t="s">
        <v>#N/A N/A</v>
        <stp/>
        <stp>BDP|7176995055460690288</stp>
        <tr r="H72" s="1"/>
      </tp>
      <tp t="s">
        <v>#N/A N/A</v>
        <stp/>
        <stp>BDP|8923345958820408728</stp>
        <tr r="H141" s="1"/>
      </tp>
      <tp t="s">
        <v>#N/A N/A</v>
        <stp/>
        <stp>BDP|4110364739825654882</stp>
        <tr r="I72" s="1"/>
      </tp>
      <tp t="s">
        <v>#N/A N/A</v>
        <stp/>
        <stp>BDP|6052241491723396766</stp>
        <tr r="I287" s="1"/>
      </tp>
      <tp t="s">
        <v>#N/A N/A</v>
        <stp/>
        <stp>BDP|5483428093942701328</stp>
        <tr r="I339" s="1"/>
      </tp>
      <tp t="s">
        <v>#N/A N/A</v>
        <stp/>
        <stp>BDP|2406611795596240233</stp>
        <tr r="H185" s="1"/>
      </tp>
      <tp t="s">
        <v>#N/A N/A</v>
        <stp/>
        <stp>BDP|5996984163654124750</stp>
        <tr r="I372" s="1"/>
      </tp>
      <tp t="s">
        <v>#N/A N/A</v>
        <stp/>
        <stp>BDP|8340235475007429378</stp>
        <tr r="I285" s="1"/>
      </tp>
      <tp t="s">
        <v>#N/A N/A</v>
        <stp/>
        <stp>BDP|7245627980411164170</stp>
        <tr r="I124" s="1"/>
      </tp>
      <tp t="s">
        <v>#N/A N/A</v>
        <stp/>
        <stp>BDP|8891564172193352099</stp>
        <tr r="H91" s="1"/>
      </tp>
      <tp t="s">
        <v>#N/A N/A</v>
        <stp/>
        <stp>BDP|5921585344414269939</stp>
        <tr r="I317" s="1"/>
      </tp>
      <tp t="s">
        <v>#N/A N/A</v>
        <stp/>
        <stp>BDP|8051639221822200758</stp>
        <tr r="H134" s="1"/>
      </tp>
      <tp t="s">
        <v>#N/A N/A</v>
        <stp/>
        <stp>BDP|7126920651187445539</stp>
        <tr r="I262" s="1"/>
      </tp>
      <tp t="s">
        <v>#N/A N/A</v>
        <stp/>
        <stp>BDP|6276984902541412797</stp>
        <tr r="I211" s="1"/>
      </tp>
      <tp t="s">
        <v>#N/A N/A</v>
        <stp/>
        <stp>BDP|6831149173709282082</stp>
        <tr r="I341" s="1"/>
      </tp>
      <tp t="s">
        <v>#N/A N/A</v>
        <stp/>
        <stp>BDP|2878901462361582655</stp>
        <tr r="H122" s="1"/>
      </tp>
      <tp t="s">
        <v>#N/A N/A</v>
        <stp/>
        <stp>BDP|4735989616867480177</stp>
        <tr r="I66" s="1"/>
      </tp>
      <tp t="s">
        <v>#N/A N/A</v>
        <stp/>
        <stp>BDP|9154895293257307523</stp>
        <tr r="I168" s="1"/>
      </tp>
      <tp t="s">
        <v>#N/A N/A</v>
        <stp/>
        <stp>BDP|4723841424763967746</stp>
        <tr r="H108" s="1"/>
      </tp>
      <tp t="s">
        <v>#N/A N/A</v>
        <stp/>
        <stp>BDP|2286024919981507863</stp>
        <tr r="H65" s="1"/>
      </tp>
      <tp t="s">
        <v>#N/A N/A</v>
        <stp/>
        <stp>BDP|7991821379007590599</stp>
        <tr r="I100" s="1"/>
      </tp>
      <tp t="s">
        <v>#N/A N/A</v>
        <stp/>
        <stp>BDP|6303252829688338430</stp>
        <tr r="I132" s="1"/>
      </tp>
      <tp t="s">
        <v>#N/A N/A</v>
        <stp/>
        <stp>BDP|8051941678269181517</stp>
        <tr r="H344" s="1"/>
      </tp>
      <tp t="s">
        <v>#N/A N/A</v>
        <stp/>
        <stp>BDP|1422790090350988586</stp>
        <tr r="I118" s="1"/>
      </tp>
      <tp t="s">
        <v>#N/A N/A</v>
        <stp/>
        <stp>BDP|1105684578363958958</stp>
        <tr r="I203" s="1"/>
      </tp>
      <tp t="s">
        <v>#N/A N/A</v>
        <stp/>
        <stp>BDP|8750320957326972261</stp>
        <tr r="I230" s="1"/>
      </tp>
      <tp t="s">
        <v>#N/A N/A</v>
        <stp/>
        <stp>BDP|9528756161066568469</stp>
        <tr r="H359" s="1"/>
      </tp>
      <tp t="s">
        <v>#N/A N/A</v>
        <stp/>
        <stp>BDP|2218686364199499183</stp>
        <tr r="H306" s="1"/>
      </tp>
      <tp t="s">
        <v>#N/A N/A</v>
        <stp/>
        <stp>BDP|6109914891968021420</stp>
        <tr r="H78" s="1"/>
      </tp>
      <tp t="s">
        <v>#N/A N/A</v>
        <stp/>
        <stp>BDP|5626430560289226478</stp>
        <tr r="H53" s="1"/>
      </tp>
      <tp t="s">
        <v>#N/A N/A</v>
        <stp/>
        <stp>BDP|1364921639323577295</stp>
        <tr r="I17" s="1"/>
      </tp>
      <tp t="s">
        <v>#N/A N/A</v>
        <stp/>
        <stp>BDP|1740435961169440047</stp>
        <tr r="I159" s="1"/>
      </tp>
      <tp t="s">
        <v>#N/A N/A</v>
        <stp/>
        <stp>BDP|6161634669934622974</stp>
        <tr r="H339" s="1"/>
      </tp>
      <tp t="s">
        <v>#N/A N/A</v>
        <stp/>
        <stp>BDP|9993235408779163984</stp>
        <tr r="H202" s="1"/>
      </tp>
      <tp t="s">
        <v>#N/A N/A</v>
        <stp/>
        <stp>BDP|6968677096990079232</stp>
        <tr r="I244" s="1"/>
      </tp>
      <tp t="s">
        <v>#N/A N/A</v>
        <stp/>
        <stp>BDP|1801140824790722975</stp>
        <tr r="H340" s="1"/>
      </tp>
      <tp t="s">
        <v>#N/A N/A</v>
        <stp/>
        <stp>BDP|8906610150431757172</stp>
        <tr r="H182" s="1"/>
      </tp>
      <tp t="s">
        <v>#N/A N/A</v>
        <stp/>
        <stp>BDP|6581746495770545398</stp>
        <tr r="H25" s="1"/>
      </tp>
      <tp t="s">
        <v>#N/A N/A</v>
        <stp/>
        <stp>BDP|6044212302576347998</stp>
        <tr r="H174" s="1"/>
      </tp>
      <tp t="s">
        <v>#N/A N/A</v>
        <stp/>
        <stp>BDP|1863963031320120016</stp>
        <tr r="I80" s="1"/>
      </tp>
      <tp t="s">
        <v>#N/A N/A</v>
        <stp/>
        <stp>BDP|5272276988880420445</stp>
        <tr r="H26" s="1"/>
      </tp>
      <tp t="s">
        <v>#N/A N/A</v>
        <stp/>
        <stp>BDP|2112674626485842856</stp>
        <tr r="H45" s="1"/>
      </tp>
      <tp t="s">
        <v>#N/A N/A</v>
        <stp/>
        <stp>BDP|7031199190350581413</stp>
        <tr r="H223" s="1"/>
      </tp>
      <tp t="s">
        <v>#N/A N/A</v>
        <stp/>
        <stp>BDP|5140485643167817901</stp>
        <tr r="H175" s="1"/>
      </tp>
      <tp t="s">
        <v>#N/A N/A</v>
        <stp/>
        <stp>BDP|6328765187641453350</stp>
        <tr r="H334" s="1"/>
      </tp>
      <tp t="s">
        <v>#N/A N/A</v>
        <stp/>
        <stp>BDP|5495151641112537955</stp>
        <tr r="I143" s="1"/>
      </tp>
      <tp t="s">
        <v>#N/A N/A</v>
        <stp/>
        <stp>BDP|1378717320929515663</stp>
        <tr r="I170" s="1"/>
      </tp>
      <tp t="s">
        <v>#N/A N/A</v>
        <stp/>
        <stp>BDP|7705598277709864703</stp>
        <tr r="I48" s="1"/>
      </tp>
      <tp t="s">
        <v>#N/A N/A</v>
        <stp/>
        <stp>BDP|8456799136270397795</stp>
        <tr r="I251" s="1"/>
      </tp>
      <tp t="s">
        <v>#N/A N/A</v>
        <stp/>
        <stp>BDP|2547031638372939819</stp>
        <tr r="I253" s="1"/>
      </tp>
      <tp t="s">
        <v>#N/A N/A</v>
        <stp/>
        <stp>BDP|6176807114677109324</stp>
        <tr r="H316" s="1"/>
      </tp>
      <tp t="s">
        <v>#N/A N/A</v>
        <stp/>
        <stp>BDP|7906442593478293986</stp>
        <tr r="I330" s="1"/>
      </tp>
      <tp t="s">
        <v>#N/A N/A</v>
        <stp/>
        <stp>BDP|7810134407588983512</stp>
        <tr r="H138" s="1"/>
      </tp>
      <tp t="s">
        <v>#N/A N/A</v>
        <stp/>
        <stp>BDP|6571050254868538052</stp>
        <tr r="H342" s="1"/>
      </tp>
      <tp t="s">
        <v>#N/A N/A</v>
        <stp/>
        <stp>BDP|8241026235493274327</stp>
        <tr r="H116" s="1"/>
      </tp>
      <tp t="s">
        <v>#N/A N/A</v>
        <stp/>
        <stp>BDP|8796946676613691197</stp>
        <tr r="H230" s="1"/>
      </tp>
      <tp t="s">
        <v>#N/A N/A</v>
        <stp/>
        <stp>BDP|2264254578643273060</stp>
        <tr r="I309" s="1"/>
      </tp>
      <tp t="s">
        <v>#N/A N/A</v>
        <stp/>
        <stp>BDP|6728696411552570723</stp>
        <tr r="I282" s="1"/>
      </tp>
      <tp t="s">
        <v>#N/A N/A</v>
        <stp/>
        <stp>BDP|8824999100810847510</stp>
        <tr r="I297" s="1"/>
      </tp>
      <tp t="s">
        <v>#N/A N/A</v>
        <stp/>
        <stp>BDP|5013156655905912002</stp>
        <tr r="I349" s="1"/>
      </tp>
      <tp t="s">
        <v>#N/A N/A</v>
        <stp/>
        <stp>BDP|6378914441526700980</stp>
        <tr r="H123" s="1"/>
      </tp>
      <tp t="s">
        <v>#N/A N/A</v>
        <stp/>
        <stp>BDP|1935541616587606605</stp>
        <tr r="H7" s="1"/>
      </tp>
      <tp t="s">
        <v>#N/A N/A</v>
        <stp/>
        <stp>BDP|1341990309338911488</stp>
        <tr r="H171" s="1"/>
      </tp>
      <tp t="s">
        <v>#N/A N/A</v>
        <stp/>
        <stp>BDP|2946682784811655937</stp>
        <tr r="H59" s="1"/>
      </tp>
      <tp t="s">
        <v>#N/A N/A</v>
        <stp/>
        <stp>BDP|7150268156972187613</stp>
        <tr r="H114" s="1"/>
      </tp>
      <tp t="s">
        <v>#N/A N/A</v>
        <stp/>
        <stp>BDP|2784273365473190155</stp>
        <tr r="H195" s="1"/>
      </tp>
      <tp t="s">
        <v>#N/A N/A</v>
        <stp/>
        <stp>BDP|4724358569074279188</stp>
        <tr r="H51" s="1"/>
      </tp>
      <tp t="s">
        <v>#N/A N/A</v>
        <stp/>
        <stp>BDP|1141596063312865423</stp>
        <tr r="H263" s="1"/>
      </tp>
      <tp t="s">
        <v>#N/A N/A</v>
        <stp/>
        <stp>BDP|1561196949503079337</stp>
        <tr r="I352" s="1"/>
      </tp>
      <tp t="s">
        <v>#N/A N/A</v>
        <stp/>
        <stp>BDP|8030710342637139855</stp>
        <tr r="I73" s="1"/>
      </tp>
      <tp t="s">
        <v>#N/A N/A</v>
        <stp/>
        <stp>BDP|2809851700919171780</stp>
        <tr r="H216" s="1"/>
      </tp>
      <tp t="s">
        <v>#N/A N/A</v>
        <stp/>
        <stp>BDP|6538386477273683593</stp>
        <tr r="I319" s="1"/>
      </tp>
      <tp t="s">
        <v>#N/A N/A</v>
        <stp/>
        <stp>BDP|8504615981045489748</stp>
        <tr r="I310" s="1"/>
      </tp>
      <tp t="s">
        <v>#N/A N/A</v>
        <stp/>
        <stp>BDP|4670065344793400752</stp>
        <tr r="H155" s="1"/>
      </tp>
      <tp t="s">
        <v>#N/A N/A</v>
        <stp/>
        <stp>BDP|4752419472931919282</stp>
        <tr r="I160" s="1"/>
      </tp>
      <tp t="s">
        <v>#N/A N/A</v>
        <stp/>
        <stp>BDP|1740662239524412562</stp>
        <tr r="I172" s="1"/>
      </tp>
      <tp t="s">
        <v>#N/A N/A</v>
        <stp/>
        <stp>BDP|6700748083118327498</stp>
        <tr r="I336" s="1"/>
      </tp>
      <tp t="s">
        <v>#N/A N/A</v>
        <stp/>
        <stp>BDP|4450026349582428712</stp>
        <tr r="I81" s="1"/>
      </tp>
      <tp t="s">
        <v>#N/A N/A</v>
        <stp/>
        <stp>BDP|6110268302132889361</stp>
        <tr r="H254" s="1"/>
      </tp>
      <tp t="s">
        <v>#N/A N/A</v>
        <stp/>
        <stp>BDP|8611792740038062640</stp>
        <tr r="H179" s="1"/>
      </tp>
      <tp t="s">
        <v>#N/A N/A</v>
        <stp/>
        <stp>BDP|4408152592880399984</stp>
        <tr r="H290" s="1"/>
      </tp>
      <tp t="s">
        <v>#N/A N/A</v>
        <stp/>
        <stp>BDP|5379816072116034985</stp>
        <tr r="I294" s="1"/>
      </tp>
      <tp t="s">
        <v>#N/A N/A</v>
        <stp/>
        <stp>BDP|3602295954937431666</stp>
        <tr r="H362" s="1"/>
      </tp>
      <tp t="s">
        <v>#N/A N/A</v>
        <stp/>
        <stp>BDP|5890553477195328707</stp>
        <tr r="H73" s="1"/>
      </tp>
      <tp t="s">
        <v>#N/A N/A</v>
        <stp/>
        <stp>BDP|9141905349555257441</stp>
        <tr r="I295" s="1"/>
      </tp>
      <tp t="s">
        <v>#N/A N/A</v>
        <stp/>
        <stp>BDP|4958410957345176503</stp>
        <tr r="H106" s="1"/>
      </tp>
      <tp t="s">
        <v>#N/A N/A</v>
        <stp/>
        <stp>BDP|6195795309714929047</stp>
        <tr r="I88" s="1"/>
      </tp>
      <tp t="s">
        <v>#N/A N/A</v>
        <stp/>
        <stp>BDP|7829438645503555163</stp>
        <tr r="H224" s="1"/>
      </tp>
      <tp t="s">
        <v>#N/A N/A</v>
        <stp/>
        <stp>BDP|5017612358273412005</stp>
        <tr r="H222" s="1"/>
      </tp>
      <tp t="s">
        <v>#N/A N/A</v>
        <stp/>
        <stp>BDP|8078915829273626535</stp>
        <tr r="H194" s="1"/>
      </tp>
      <tp t="s">
        <v>#N/A N/A</v>
        <stp/>
        <stp>BDP|7561451629474237098</stp>
        <tr r="I213" s="1"/>
      </tp>
      <tp t="s">
        <v>#N/A N/A</v>
        <stp/>
        <stp>BDP|1757758643304048331</stp>
        <tr r="I316" s="1"/>
      </tp>
      <tp t="s">
        <v>#N/A N/A</v>
        <stp/>
        <stp>BDP|2724122733290091551</stp>
        <tr r="I184" s="1"/>
      </tp>
      <tp t="s">
        <v>#N/A N/A</v>
        <stp/>
        <stp>BDP|1297866299774704197</stp>
        <tr r="I227" s="1"/>
      </tp>
      <tp t="s">
        <v>#N/A N/A</v>
        <stp/>
        <stp>BDP|1749826025499771746</stp>
        <tr r="I333" s="1"/>
      </tp>
      <tp t="s">
        <v>#N/A N/A</v>
        <stp/>
        <stp>BDP|9251059290425033073</stp>
        <tr r="I340" s="1"/>
      </tp>
      <tp t="s">
        <v>#N/A N/A</v>
        <stp/>
        <stp>BDP|6968111828043867391</stp>
        <tr r="H271" s="1"/>
      </tp>
      <tp t="s">
        <v>#N/A N/A</v>
        <stp/>
        <stp>BDP|9425654693794429770</stp>
        <tr r="I363" s="1"/>
      </tp>
      <tp t="s">
        <v>#N/A N/A</v>
        <stp/>
        <stp>BDP|2819751178370410706</stp>
        <tr r="H357" s="1"/>
      </tp>
      <tp t="s">
        <v>#N/A N/A</v>
        <stp/>
        <stp>BDP|5463762454247949599</stp>
        <tr r="H370" s="1"/>
      </tp>
      <tp t="s">
        <v>#N/A N/A</v>
        <stp/>
        <stp>BDP|7776137707165749620</stp>
        <tr r="H135" s="1"/>
      </tp>
      <tp t="s">
        <v>#N/A N/A</v>
        <stp/>
        <stp>BDP|1325832346419212138</stp>
        <tr r="I250" s="1"/>
      </tp>
      <tp t="s">
        <v>#N/A N/A</v>
        <stp/>
        <stp>BDP|5472609495427405824</stp>
        <tr r="I236" s="1"/>
      </tp>
      <tp t="s">
        <v>#N/A N/A</v>
        <stp/>
        <stp>BDP|3333870196890435716</stp>
        <tr r="H298" s="1"/>
      </tp>
      <tp t="s">
        <v>#N/A N/A</v>
        <stp/>
        <stp>BDP|2500078999628454685</stp>
        <tr r="I104" s="1"/>
      </tp>
      <tp t="s">
        <v>#N/A N/A</v>
        <stp/>
        <stp>BDP|1646228281308541645</stp>
        <tr r="H193" s="1"/>
      </tp>
      <tp t="s">
        <v>#N/A N/A</v>
        <stp/>
        <stp>BDP|7441725173090986293</stp>
        <tr r="I301" s="1"/>
      </tp>
      <tp t="s">
        <v>#N/A N/A</v>
        <stp/>
        <stp>BDP|7551520600505645246</stp>
        <tr r="H125" s="1"/>
      </tp>
      <tp t="s">
        <v>#N/A N/A</v>
        <stp/>
        <stp>BDP|2317325645665910671</stp>
        <tr r="H160" s="1"/>
      </tp>
      <tp t="s">
        <v>#N/A N/A</v>
        <stp/>
        <stp>BDP|6876314223868245939</stp>
        <tr r="I353" s="1"/>
      </tp>
      <tp t="s">
        <v>#N/A N/A</v>
        <stp/>
        <stp>BDP|2902195524177935050</stp>
        <tr r="H331" s="1"/>
      </tp>
      <tp t="s">
        <v>#N/A N/A</v>
        <stp/>
        <stp>BDP|7029611360261807003</stp>
        <tr r="I123" s="1"/>
      </tp>
      <tp t="s">
        <v>#N/A N/A</v>
        <stp/>
        <stp>BDP|1590467544301013698</stp>
        <tr r="I68" s="1"/>
      </tp>
      <tp t="s">
        <v>#N/A N/A</v>
        <stp/>
        <stp>BDP|3164496005509258832</stp>
        <tr r="I40" s="1"/>
      </tp>
      <tp t="s">
        <v>#N/A N/A</v>
        <stp/>
        <stp>BDP|8831736142559492409</stp>
        <tr r="I9" s="1"/>
      </tp>
      <tp t="s">
        <v>#N/A N/A</v>
        <stp/>
        <stp>BDP|7966322774653568674</stp>
        <tr r="I304" s="1"/>
      </tp>
      <tp t="s">
        <v>#N/A N/A</v>
        <stp/>
        <stp>BDP|3294957075929930266</stp>
        <tr r="I166" s="1"/>
      </tp>
      <tp t="s">
        <v>#N/A N/A</v>
        <stp/>
        <stp>BDP|2760223740395109794</stp>
        <tr r="I226" s="1"/>
      </tp>
      <tp t="s">
        <v>#N/A N/A</v>
        <stp/>
        <stp>BDP|3407604321925656411</stp>
        <tr r="H307" s="1"/>
      </tp>
      <tp t="s">
        <v>#N/A N/A</v>
        <stp/>
        <stp>BDP|2976129107881675480</stp>
        <tr r="I326" s="1"/>
      </tp>
      <tp t="s">
        <v>#N/A N/A</v>
        <stp/>
        <stp>BDP|5499313671477653016</stp>
        <tr r="I173" s="1"/>
      </tp>
      <tp t="s">
        <v>#N/A N/A</v>
        <stp/>
        <stp>BDP|3489840356590456814</stp>
        <tr r="I180" s="1"/>
      </tp>
      <tp t="s">
        <v>#N/A N/A</v>
        <stp/>
        <stp>BDP|7839921582288975826</stp>
        <tr r="H105" s="1"/>
      </tp>
      <tp t="s">
        <v>#N/A N/A</v>
        <stp/>
        <stp>BDP|8386236284216737208</stp>
        <tr r="I62" s="1"/>
      </tp>
      <tp t="s">
        <v>#N/A N/A</v>
        <stp/>
        <stp>BDP|7787956882808307800</stp>
        <tr r="H249" s="1"/>
      </tp>
      <tp t="s">
        <v>#N/A N/A</v>
        <stp/>
        <stp>BDP|3011959095420527544</stp>
        <tr r="H238" s="1"/>
      </tp>
      <tp t="s">
        <v>#N/A N/A</v>
        <stp/>
        <stp>BDP|4735335046510186528</stp>
        <tr r="H176" s="1"/>
      </tp>
      <tp t="s">
        <v>#N/A N/A</v>
        <stp/>
        <stp>BDP|3271805582001084467</stp>
        <tr r="I343" s="1"/>
      </tp>
      <tp t="s">
        <v>#N/A N/A</v>
        <stp/>
        <stp>BDP|3185100482715189949</stp>
        <tr r="I7" s="1"/>
      </tp>
      <tp t="s">
        <v>#N/A N/A</v>
        <stp/>
        <stp>BDP|6280954174539625715</stp>
        <tr r="H336" s="1"/>
      </tp>
      <tp t="s">
        <v>#N/A N/A</v>
        <stp/>
        <stp>BDP|1442446694138197218</stp>
        <tr r="I368" s="1"/>
      </tp>
      <tp t="s">
        <v>#N/A N/A</v>
        <stp/>
        <stp>BDP|8193780058489511515</stp>
        <tr r="H241" s="1"/>
      </tp>
      <tp t="s">
        <v>#N/A N/A</v>
        <stp/>
        <stp>BDP|4116377212801670171</stp>
        <tr r="I216" s="1"/>
      </tp>
      <tp t="s">
        <v>#N/A N/A</v>
        <stp/>
        <stp>BDP|3709032277945639709</stp>
        <tr r="H102" s="1"/>
      </tp>
      <tp t="s">
        <v>#N/A N/A</v>
        <stp/>
        <stp>BDP|5450867284234156726</stp>
        <tr r="I6" s="1"/>
      </tp>
      <tp t="s">
        <v>#N/A N/A</v>
        <stp/>
        <stp>BDP|6663637548120070379</stp>
        <tr r="H54" s="1"/>
      </tp>
      <tp t="s">
        <v>#N/A N/A</v>
        <stp/>
        <stp>BDP|5603572068749978887</stp>
        <tr r="H315" s="1"/>
      </tp>
      <tp t="s">
        <v>#N/A N/A</v>
        <stp/>
        <stp>BDP|8099089693474326200</stp>
        <tr r="I150" s="1"/>
      </tp>
      <tp t="s">
        <v>#N/A N/A</v>
        <stp/>
        <stp>BDP|7640926417068464099</stp>
        <tr r="I296" s="1"/>
      </tp>
      <tp t="s">
        <v>#N/A N/A</v>
        <stp/>
        <stp>BDP|8446404464045789899</stp>
        <tr r="H232" s="1"/>
      </tp>
      <tp t="s">
        <v>#N/A N/A</v>
        <stp/>
        <stp>BDP|4999028869623538697</stp>
        <tr r="I176" s="1"/>
      </tp>
      <tp t="s">
        <v>#N/A N/A</v>
        <stp/>
        <stp>BDP|3817228943103494133</stp>
        <tr r="I286" s="1"/>
      </tp>
      <tp t="s">
        <v>#N/A N/A</v>
        <stp/>
        <stp>BDP|5520456137762991711</stp>
        <tr r="I10" s="1"/>
      </tp>
      <tp t="s">
        <v>#N/A N/A</v>
        <stp/>
        <stp>BDP|7301198900010156141</stp>
        <tr r="I82" s="1"/>
      </tp>
      <tp t="s">
        <v>#N/A N/A</v>
        <stp/>
        <stp>BDP|6370702328226167277</stp>
        <tr r="H208" s="1"/>
      </tp>
      <tp t="s">
        <v>#N/A N/A</v>
        <stp/>
        <stp>BDP|9738943103000679743</stp>
        <tr r="I320" s="1"/>
      </tp>
      <tp t="s">
        <v>#N/A N/A</v>
        <stp/>
        <stp>BDP|5728314080541241844</stp>
        <tr r="H44" s="1"/>
      </tp>
      <tp t="s">
        <v>#N/A N/A</v>
        <stp/>
        <stp>BDP|5344211373553449451</stp>
        <tr r="H338" s="1"/>
      </tp>
      <tp t="s">
        <v>#N/A N/A</v>
        <stp/>
        <stp>BDP|4719570631346930399</stp>
        <tr r="I87" s="1"/>
      </tp>
      <tp t="s">
        <v>#N/A N/A</v>
        <stp/>
        <stp>BDP|4829065932635590583</stp>
        <tr r="I105" s="1"/>
      </tp>
      <tp t="s">
        <v>#N/A N/A</v>
        <stp/>
        <stp>BDP|1369178041012255161</stp>
        <tr r="I351" s="1"/>
      </tp>
      <tp t="s">
        <v>#N/A N/A</v>
        <stp/>
        <stp>BDP|6153819425968162356</stp>
        <tr r="H227" s="1"/>
      </tp>
      <tp t="s">
        <v>#N/A N/A</v>
        <stp/>
        <stp>BDP|2930843887544559191</stp>
        <tr r="H85" s="1"/>
      </tp>
      <tp t="s">
        <v>#N/A N/A</v>
        <stp/>
        <stp>BDP|8255333670822315949</stp>
        <tr r="I315" s="1"/>
      </tp>
      <tp t="s">
        <v>#N/A N/A</v>
        <stp/>
        <stp>BDP|5573410422283612762</stp>
        <tr r="I165" s="1"/>
      </tp>
      <tp t="s">
        <v>#N/A N/A</v>
        <stp/>
        <stp>BDP|2567643132913718335</stp>
        <tr r="H24" s="1"/>
      </tp>
      <tp t="s">
        <v>#N/A N/A</v>
        <stp/>
        <stp>BDP|4432615423232082517</stp>
        <tr r="I264" s="1"/>
      </tp>
      <tp t="s">
        <v>#N/A N/A</v>
        <stp/>
        <stp>BDP|3882718507493973007</stp>
        <tr r="I145" s="1"/>
      </tp>
      <tp t="s">
        <v>#N/A N/A</v>
        <stp/>
        <stp>BDP|1504506897039482319</stp>
        <tr r="I206" s="1"/>
      </tp>
      <tp t="s">
        <v>#N/A N/A</v>
        <stp/>
        <stp>BDP|9966743348425476859</stp>
        <tr r="H94" s="1"/>
      </tp>
      <tp t="s">
        <v>#N/A N/A</v>
        <stp/>
        <stp>BDP|5481790244537791165</stp>
        <tr r="I136" s="1"/>
      </tp>
      <tp t="s">
        <v>#N/A N/A</v>
        <stp/>
        <stp>BDP|6687203909194692070</stp>
        <tr r="I86" s="1"/>
      </tp>
      <tp t="s">
        <v>#N/A N/A</v>
        <stp/>
        <stp>BDP|5820679512385659765</stp>
        <tr r="H205" s="1"/>
      </tp>
      <tp t="s">
        <v>#N/A N/A</v>
        <stp/>
        <stp>BDP|9192948500716557638</stp>
        <tr r="I313" s="1"/>
      </tp>
      <tp t="s">
        <v>#N/A N/A</v>
        <stp/>
        <stp>BDP|5057210852304110618</stp>
        <tr r="I59" s="1"/>
      </tp>
      <tp t="s">
        <v>#N/A N/A</v>
        <stp/>
        <stp>BDP|1387161788261960940</stp>
        <tr r="I185" s="1"/>
      </tp>
      <tp t="s">
        <v>#N/A N/A</v>
        <stp/>
        <stp>BDP|8438555125408152759</stp>
        <tr r="H356" s="1"/>
      </tp>
      <tp t="s">
        <v>#N/A N/A</v>
        <stp/>
        <stp>BDP|6406458604224570666</stp>
        <tr r="I291" s="1"/>
      </tp>
      <tp t="s">
        <v>#N/A N/A</v>
        <stp/>
        <stp>BDP|5246371302551723767</stp>
        <tr r="H130" s="1"/>
      </tp>
      <tp t="s">
        <v>#N/A N/A</v>
        <stp/>
        <stp>BDP|1600350296902046920</stp>
        <tr r="H327" s="1"/>
      </tp>
      <tp t="s">
        <v>#N/A N/A</v>
        <stp/>
        <stp>BDP|1059520475982595152</stp>
        <tr r="H292" s="1"/>
      </tp>
      <tp t="s">
        <v>#N/A N/A</v>
        <stp/>
        <stp>BDP|3044774640256455678</stp>
        <tr r="H190" s="1"/>
      </tp>
      <tp t="s">
        <v>#N/A N/A</v>
        <stp/>
        <stp>BDP|5603956922316017857</stp>
        <tr r="I93" s="1"/>
      </tp>
      <tp t="s">
        <v>#N/A N/A</v>
        <stp/>
        <stp>BDP|7545420160334269113</stp>
        <tr r="I200" s="1"/>
      </tp>
      <tp t="s">
        <v>#N/A N/A</v>
        <stp/>
        <stp>BDP|6642134451136194407</stp>
        <tr r="H6" s="1"/>
      </tp>
      <tp t="s">
        <v>#N/A N/A</v>
        <stp/>
        <stp>BDP|4353620837471564062</stp>
        <tr r="H286" s="1"/>
      </tp>
      <tp t="s">
        <v>#N/A N/A</v>
        <stp/>
        <stp>BDP|4987525563225718346</stp>
        <tr r="I356" s="1"/>
      </tp>
      <tp t="s">
        <v>#N/A N/A</v>
        <stp/>
        <stp>BDP|4621186517195387012</stp>
        <tr r="I131" s="1"/>
      </tp>
      <tp t="s">
        <v>#N/A N/A</v>
        <stp/>
        <stp>BDP|7726215933290911772</stp>
        <tr r="I181" s="1"/>
      </tp>
      <tp t="s">
        <v>#N/A N/A</v>
        <stp/>
        <stp>BDP|3376246077752803503</stp>
        <tr r="I85" s="1"/>
      </tp>
      <tp t="s">
        <v>#N/A N/A</v>
        <stp/>
        <stp>BDP|1351667517337861023</stp>
        <tr r="H299" s="1"/>
      </tp>
      <tp t="s">
        <v>#N/A N/A</v>
        <stp/>
        <stp>BDP|1171650260182809251</stp>
        <tr r="I177" s="1"/>
      </tp>
      <tp t="s">
        <v>#N/A N/A</v>
        <stp/>
        <stp>BDP|5127983554458245066</stp>
        <tr r="H147" s="1"/>
      </tp>
      <tp t="s">
        <v>#N/A N/A</v>
        <stp/>
        <stp>BDP|7714278355068294998</stp>
        <tr r="I99" s="1"/>
      </tp>
      <tp t="s">
        <v>#N/A N/A</v>
        <stp/>
        <stp>BDP|9793286596370709304</stp>
        <tr r="H197" s="1"/>
      </tp>
      <tp t="s">
        <v>#N/A N/A</v>
        <stp/>
        <stp>BDP|7405569119744033652</stp>
        <tr r="H145" s="1"/>
      </tp>
      <tp t="s">
        <v>#N/A N/A</v>
        <stp/>
        <stp>BDP|4983435723994174766</stp>
        <tr r="I134" s="1"/>
      </tp>
      <tp t="s">
        <v>#N/A N/A</v>
        <stp/>
        <stp>BDP|6967311261437365541</stp>
        <tr r="H180" s="1"/>
      </tp>
      <tp t="s">
        <v>#N/A N/A</v>
        <stp/>
        <stp>BDP|1482381766051182441</stp>
        <tr r="H333" s="1"/>
      </tp>
      <tp t="s">
        <v>#N/A N/A</v>
        <stp/>
        <stp>BDP|2109593435885804097</stp>
        <tr r="I30" s="1"/>
      </tp>
      <tp t="s">
        <v>#N/A N/A</v>
        <stp/>
        <stp>BDP|8861629926258971583</stp>
        <tr r="I268" s="1"/>
      </tp>
      <tp t="s">
        <v>#N/A N/A</v>
        <stp/>
        <stp>BDP|5484703737564641481</stp>
        <tr r="H278" s="1"/>
      </tp>
      <tp t="s">
        <v>#N/A N/A</v>
        <stp/>
        <stp>BDP|1857063312749638873</stp>
        <tr r="H120" s="1"/>
      </tp>
      <tp t="s">
        <v>#N/A N/A</v>
        <stp/>
        <stp>BDP|1220343652357039168</stp>
        <tr r="I366" s="1"/>
      </tp>
      <tp t="s">
        <v>#N/A N/A</v>
        <stp/>
        <stp>BDP|1142655701112490435</stp>
        <tr r="I135" s="1"/>
      </tp>
      <tp t="s">
        <v>#N/A N/A</v>
        <stp/>
        <stp>BDP|6971148499206318950</stp>
        <tr r="I229" s="1"/>
      </tp>
      <tp t="s">
        <v>#N/A N/A</v>
        <stp/>
        <stp>BDP|7778676216713468200</stp>
        <tr r="I33" s="1"/>
      </tp>
      <tp t="s">
        <v>#N/A N/A</v>
        <stp/>
        <stp>BDP|9656132932409264377</stp>
        <tr r="H81" s="1"/>
      </tp>
      <tp t="s">
        <v>#N/A N/A</v>
        <stp/>
        <stp>BDP|5466124444500548140</stp>
        <tr r="I194" s="1"/>
      </tp>
      <tp t="s">
        <v>#N/A N/A</v>
        <stp/>
        <stp>BDP|2618374966936107060</stp>
        <tr r="I186" s="1"/>
      </tp>
      <tp t="s">
        <v>#N/A N/A</v>
        <stp/>
        <stp>BDP|7178542143091437627</stp>
        <tr r="H48" s="1"/>
      </tp>
      <tp t="s">
        <v>#N/A N/A</v>
        <stp/>
        <stp>BDP|7019783687388763182</stp>
        <tr r="I302" s="1"/>
      </tp>
      <tp t="s">
        <v>#N/A N/A</v>
        <stp/>
        <stp>BDP|2471403934301166514</stp>
        <tr r="H266" s="1"/>
      </tp>
      <tp t="s">
        <v>#N/A N/A</v>
        <stp/>
        <stp>BDP|9729338561198151554</stp>
        <tr r="I74" s="1"/>
      </tp>
      <tp t="s">
        <v>#N/A N/A</v>
        <stp/>
        <stp>BDP|7416461923313328344</stp>
        <tr r="I256" s="1"/>
      </tp>
      <tp t="s">
        <v>#N/A N/A</v>
        <stp/>
        <stp>BDP|8368837217385174515</stp>
        <tr r="I224" s="1"/>
      </tp>
      <tp t="s">
        <v>#N/A N/A</v>
        <stp/>
        <stp>BDP|7105552826006470710</stp>
        <tr r="H282" s="1"/>
      </tp>
      <tp t="s">
        <v>#N/A N/A</v>
        <stp/>
        <stp>BDP|2542309330687102400</stp>
        <tr r="H365" s="1"/>
      </tp>
      <tp t="s">
        <v>#N/A N/A</v>
        <stp/>
        <stp>BDP|3690571554736905496</stp>
        <tr r="H166" s="1"/>
      </tp>
      <tp t="s">
        <v>#N/A N/A</v>
        <stp/>
        <stp>BDP|7814373075644992589</stp>
        <tr r="H39" s="1"/>
      </tp>
      <tp t="s">
        <v>#N/A N/A</v>
        <stp/>
        <stp>BDP|5820293050798180895</stp>
        <tr r="I53" s="1"/>
      </tp>
      <tp t="s">
        <v>#N/A N/A</v>
        <stp/>
        <stp>BDP|5167109580379942712</stp>
        <tr r="H267" s="1"/>
      </tp>
      <tp t="s">
        <v>#N/A N/A</v>
        <stp/>
        <stp>BDP|1931316167651749717</stp>
        <tr r="I311" s="1"/>
      </tp>
      <tp t="s">
        <v>#N/A N/A</v>
        <stp/>
        <stp>BDP|1990182847597275183</stp>
        <tr r="H352" s="1"/>
      </tp>
      <tp t="s">
        <v>#N/A N/A</v>
        <stp/>
        <stp>BDP|6440892001208711476</stp>
        <tr r="H337" s="1"/>
      </tp>
      <tp t="s">
        <v>#N/A N/A</v>
        <stp/>
        <stp>BDP|6136423949785652100</stp>
        <tr r="I28" s="1"/>
      </tp>
      <tp t="s">
        <v>#N/A N/A</v>
        <stp/>
        <stp>BDP|9051389899231566064</stp>
        <tr r="H163" s="1"/>
      </tp>
      <tp t="s">
        <v>#N/A N/A</v>
        <stp/>
        <stp>BDP|5890058147923105096</stp>
        <tr r="I84" s="1"/>
      </tp>
      <tp t="s">
        <v>#N/A N/A</v>
        <stp/>
        <stp>BDP|1136129804727594506</stp>
        <tr r="H274" s="1"/>
      </tp>
      <tp t="s">
        <v>#N/A N/A</v>
        <stp/>
        <stp>BDP|2789854327549148375</stp>
        <tr r="H133" s="1"/>
      </tp>
      <tp t="s">
        <v>#N/A N/A</v>
        <stp/>
        <stp>BDP|1866852754989988708</stp>
        <tr r="H88" s="1"/>
      </tp>
      <tp t="s">
        <v>#N/A N/A</v>
        <stp/>
        <stp>BDP|1173554360011194148</stp>
        <tr r="H353" s="1"/>
      </tp>
      <tp t="s">
        <v>#N/A N/A</v>
        <stp/>
        <stp>BDP|3439301208710057295</stp>
        <tr r="I114" s="1"/>
      </tp>
      <tp t="s">
        <v>#N/A N/A</v>
        <stp/>
        <stp>BDP|7239035036087804059</stp>
        <tr r="I348" s="1"/>
      </tp>
      <tp t="s">
        <v>#N/A N/A</v>
        <stp/>
        <stp>BDP|2051206998082524845</stp>
        <tr r="I24" s="1"/>
      </tp>
      <tp t="s">
        <v>#N/A N/A</v>
        <stp/>
        <stp>BDP|1355779133155945303</stp>
        <tr r="H143" s="1"/>
      </tp>
      <tp t="s">
        <v>#N/A N/A</v>
        <stp/>
        <stp>BDP|4816196306713190590</stp>
        <tr r="I26" s="1"/>
      </tp>
      <tp t="s">
        <v>#N/A N/A</v>
        <stp/>
        <stp>BDP|5747097815084396343</stp>
        <tr r="H192" s="1"/>
      </tp>
      <tp t="s">
        <v>#N/A N/A</v>
        <stp/>
        <stp>BDP|2210278822667324686</stp>
        <tr r="I187" s="1"/>
      </tp>
      <tp t="s">
        <v>#N/A N/A</v>
        <stp/>
        <stp>BDP|2734506810077336290</stp>
        <tr r="H23" s="1"/>
      </tp>
      <tp t="s">
        <v>#N/A N/A</v>
        <stp/>
        <stp>BDP|1467413686218095617</stp>
        <tr r="I102" s="1"/>
      </tp>
      <tp t="s">
        <v>#N/A N/A</v>
        <stp/>
        <stp>BDP|1341309541183715671</stp>
        <tr r="I107" s="1"/>
      </tp>
      <tp t="s">
        <v>#N/A N/A</v>
        <stp/>
        <stp>BDP|8546965730035713461</stp>
        <tr r="H272" s="1"/>
      </tp>
      <tp t="s">
        <v>#N/A N/A</v>
        <stp/>
        <stp>BDP|1649944670995126918</stp>
        <tr r="H139" s="1"/>
      </tp>
      <tp t="s">
        <v>#N/A N/A</v>
        <stp/>
        <stp>BDP|9842405640398283291</stp>
        <tr r="I225" s="1"/>
      </tp>
      <tp t="s">
        <v>#N/A N/A</v>
        <stp/>
        <stp>BDP|9601844977270795524</stp>
        <tr r="I370" s="1"/>
      </tp>
      <tp t="s">
        <v>#N/A N/A</v>
        <stp/>
        <stp>BDP|5546401603325579758</stp>
        <tr r="H372" s="1"/>
      </tp>
      <tp t="s">
        <v>#N/A N/A</v>
        <stp/>
        <stp>BDP|5066899851463840876</stp>
        <tr r="H115" s="1"/>
      </tp>
      <tp t="s">
        <v>#N/A N/A</v>
        <stp/>
        <stp>BDP|2974690132066096262</stp>
        <tr r="H14" s="1"/>
      </tp>
      <tp t="s">
        <v>#N/A N/A</v>
        <stp/>
        <stp>BDP|5392691868694444226</stp>
        <tr r="H312" s="1"/>
      </tp>
      <tp t="s">
        <v>#N/A N/A</v>
        <stp/>
        <stp>BDP|1671848195122775147</stp>
        <tr r="I110" s="1"/>
      </tp>
      <tp t="s">
        <v>#N/A N/A</v>
        <stp/>
        <stp>BDP|2143010104780684165</stp>
        <tr r="I148" s="1"/>
      </tp>
      <tp t="s">
        <v>#N/A N/A</v>
        <stp/>
        <stp>BDP|1632212110257120625</stp>
        <tr r="H154" s="1"/>
      </tp>
      <tp t="s">
        <v>#N/A N/A</v>
        <stp/>
        <stp>BDP|8410174075779134423</stp>
        <tr r="H317" s="1"/>
      </tp>
      <tp t="s">
        <v>#N/A N/A</v>
        <stp/>
        <stp>BDP|14366553493678860</stp>
        <tr r="H311" s="1"/>
      </tp>
      <tp t="s">
        <v>#N/A N/A</v>
        <stp/>
        <stp>BDP|81051676909749259</stp>
        <tr r="I314" s="1"/>
      </tp>
      <tp t="s">
        <v>#N/A N/A</v>
        <stp/>
        <stp>BDP|18691413580378895</stp>
        <tr r="I266" s="1"/>
      </tp>
      <tp t="s">
        <v>#N/A N/A</v>
        <stp/>
        <stp>BDP|77725512434702053</stp>
        <tr r="I223" s="1"/>
      </tp>
      <tp t="s">
        <v>#N/A N/A</v>
        <stp/>
        <stp>BDP|543682243940264757</stp>
        <tr r="H32" s="1"/>
      </tp>
      <tp t="s">
        <v>#N/A N/A</v>
        <stp/>
        <stp>BDP|282093187845154893</stp>
        <tr r="H207" s="1"/>
      </tp>
      <tp t="s">
        <v>#N/A N/A</v>
        <stp/>
        <stp>BDP|655920628507605865</stp>
        <tr r="I61" s="1"/>
      </tp>
      <tp t="s">
        <v>#N/A N/A</v>
        <stp/>
        <stp>BDP|502094345284457748</stp>
        <tr r="H287" s="1"/>
      </tp>
      <tp t="s">
        <v>#N/A N/A</v>
        <stp/>
        <stp>BDP|993381246442663289</stp>
        <tr r="H203" s="1"/>
      </tp>
      <tp t="s">
        <v>#N/A N/A</v>
        <stp/>
        <stp>BDP|894160471967655604</stp>
        <tr r="I19" s="1"/>
      </tp>
      <tp t="s">
        <v>#N/A N/A</v>
        <stp/>
        <stp>BDP|936345213643967615</stp>
        <tr r="I109" s="1"/>
      </tp>
      <tp t="s">
        <v>#N/A N/A</v>
        <stp/>
        <stp>BDP|371352762156341479</stp>
        <tr r="I358" s="1"/>
      </tp>
      <tp t="s">
        <v>#N/A N/A</v>
        <stp/>
        <stp>BDP|958602305990902178</stp>
        <tr r="I49" s="1"/>
      </tp>
      <tp t="s">
        <v>#N/A N/A</v>
        <stp/>
        <stp>BDP|395437761242889666</stp>
        <tr r="I280" s="1"/>
      </tp>
      <tp t="s">
        <v>#N/A N/A</v>
        <stp/>
        <stp>BDP|855542261587161240</stp>
        <tr r="H261" s="1"/>
      </tp>
      <tp t="s">
        <v>#N/A N/A</v>
        <stp/>
        <stp>BDP|105882719438146727</stp>
        <tr r="I245" s="1"/>
      </tp>
      <tp t="s">
        <v>#N/A N/A</v>
        <stp/>
        <stp>BDP|282053379326739057</stp>
        <tr r="I332" s="1"/>
      </tp>
      <tp t="s">
        <v>#N/A N/A</v>
        <stp/>
        <stp>BDP|688043821871258266</stp>
        <tr r="H253" s="1"/>
      </tp>
      <tp t="s">
        <v>#N/A N/A</v>
        <stp/>
        <stp>BDP|969917441068889411</stp>
        <tr r="H82" s="1"/>
      </tp>
      <tp t="s">
        <v>#N/A N/A</v>
        <stp/>
        <stp>BDP|415545403721381402</stp>
        <tr r="I359" s="1"/>
      </tp>
      <tp t="s">
        <v>#N/A N/A</v>
        <stp/>
        <stp>BDP|569454335196334212</stp>
        <tr r="H35" s="1"/>
      </tp>
      <tp t="s">
        <v>#N/A N/A</v>
        <stp/>
        <stp>BDP|285123098229260286</stp>
        <tr r="H97" s="1"/>
      </tp>
      <tp t="s">
        <v>#N/A N/A</v>
        <stp/>
        <stp>BDP|760471476133540283</stp>
        <tr r="H234" s="1"/>
      </tp>
      <tp t="s">
        <v>#N/A N/A</v>
        <stp/>
        <stp>BDP|870325982850396907</stp>
        <tr r="H177" s="1"/>
      </tp>
      <tp t="s">
        <v>#N/A N/A</v>
        <stp/>
        <stp>BDP|906766815312038978</stp>
        <tr r="H209" s="1"/>
      </tp>
      <tp t="s">
        <v>#N/A N/A</v>
        <stp/>
        <stp>BDP|414008750380757868</stp>
        <tr r="H103" s="1"/>
      </tp>
      <tp t="s">
        <v>#N/A N/A</v>
        <stp/>
        <stp>BDP|330935870166768569</stp>
        <tr r="I179" s="1"/>
      </tp>
      <tp t="s">
        <v>#N/A N/A</v>
        <stp/>
        <stp>BDP|740640489600771227</stp>
        <tr r="I239" s="1"/>
      </tp>
      <tp t="s">
        <v>#N/A N/A</v>
        <stp/>
        <stp>BDP|341582553368647448</stp>
        <tr r="H151" s="1"/>
      </tp>
      <tp t="s">
        <v>#N/A N/A</v>
        <stp/>
        <stp>BDP|977977904555939047</stp>
        <tr r="H124" s="1"/>
      </tp>
      <tp t="s">
        <v>#N/A N/A</v>
        <stp/>
        <stp>BDP|562916204152858455</stp>
        <tr r="H268" s="1"/>
      </tp>
      <tp t="s">
        <v>#N/A N/A</v>
        <stp/>
        <stp>BDP|493983966384605447</stp>
        <tr r="H70" s="1"/>
      </tp>
      <tp t="s">
        <v>#N/A N/A</v>
        <stp/>
        <stp>BDP|962996746347821555</stp>
        <tr r="I115" s="1"/>
      </tp>
      <tp t="s">
        <v>#N/A N/A</v>
        <stp/>
        <stp>BDP|721847772074502425</stp>
        <tr r="H86" s="1"/>
      </tp>
      <tp t="s">
        <v>#N/A N/A</v>
        <stp/>
        <stp>BDP|592849048584801721</stp>
        <tr r="H22" s="1"/>
      </tp>
      <tp t="s">
        <v>#N/A N/A</v>
        <stp/>
        <stp>BDP|939812748464351690</stp>
        <tr r="H308" s="1"/>
      </tp>
      <tp t="s">
        <v>#N/A N/A</v>
        <stp/>
        <stp>BDP|741646708327302831</stp>
        <tr r="I312" s="1"/>
      </tp>
      <tp t="s">
        <v>#N/A N/A</v>
        <stp/>
        <stp>BDP|731899294491482951</stp>
        <tr r="I322" s="1"/>
      </tp>
      <tp t="s">
        <v>#N/A N/A</v>
        <stp/>
        <stp>BDP|111337299413798083</stp>
        <tr r="H305" s="1"/>
      </tp>
      <tp t="s">
        <v>#N/A N/A</v>
        <stp/>
        <stp>BDP|355605782144509308</stp>
        <tr r="I130" s="1"/>
      </tp>
      <tp t="s">
        <v>#N/A N/A</v>
        <stp/>
        <stp>BDP|779304740587291952</stp>
        <tr r="H221" s="1"/>
      </tp>
      <tp t="s">
        <v>#N/A N/A</v>
        <stp/>
        <stp>BDP|485943970152246480</stp>
        <tr r="H152" s="1"/>
      </tp>
      <tp t="s">
        <v>#N/A N/A</v>
        <stp/>
        <stp>BDP|412455760492835831</stp>
        <tr r="H259" s="1"/>
      </tp>
      <tp t="s">
        <v>#N/A N/A</v>
        <stp/>
        <stp>BDP|853031106369760243</stp>
        <tr r="I138" s="1"/>
      </tp>
      <tp t="s">
        <v>#N/A N/A</v>
        <stp/>
        <stp>BDP|868795196857150293</stp>
        <tr r="H256" s="1"/>
      </tp>
      <tp t="s">
        <v>#N/A N/A</v>
        <stp/>
        <stp>BDP|593704091042838694</stp>
        <tr r="H330" s="1"/>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volatileDependencies" Target="volatileDependencies.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375"/>
  <sheetViews>
    <sheetView tabSelected="1" workbookViewId="0">
      <selection activeCell="M31" sqref="M31"/>
    </sheetView>
  </sheetViews>
  <sheetFormatPr defaultColWidth="9.109375" defaultRowHeight="12" x14ac:dyDescent="0.25"/>
  <cols>
    <col min="1" max="1" width="20.109375" style="2" customWidth="1"/>
    <col min="2" max="2" width="37.109375" style="2" customWidth="1"/>
    <col min="3" max="3" width="15.33203125" style="2" customWidth="1"/>
    <col min="4" max="4" width="10" style="3" customWidth="1"/>
    <col min="5" max="5" width="14.109375" style="2" customWidth="1"/>
    <col min="6" max="6" width="37.109375" style="2" customWidth="1"/>
    <col min="7" max="7" width="17.109375" style="3" customWidth="1"/>
    <col min="8" max="8" width="26.6640625" style="3" customWidth="1"/>
    <col min="9" max="9" width="30.33203125" style="3" customWidth="1"/>
    <col min="10" max="10" width="10.6640625" style="3" customWidth="1"/>
    <col min="11" max="11" width="15.33203125" style="3" customWidth="1"/>
    <col min="12" max="12" width="23" style="2" customWidth="1"/>
    <col min="13" max="13" width="44.77734375" style="2" customWidth="1"/>
    <col min="14" max="14" width="43.109375" style="2" customWidth="1"/>
    <col min="15" max="15" width="9.109375" style="1" customWidth="1"/>
    <col min="16" max="16384" width="9.109375" style="1"/>
  </cols>
  <sheetData>
    <row r="1" spans="1:14" s="4" customFormat="1" ht="13.2" x14ac:dyDescent="0.25">
      <c r="A1" s="5" t="s">
        <v>0</v>
      </c>
      <c r="B1" s="5" t="s">
        <v>1</v>
      </c>
      <c r="C1" s="5" t="s">
        <v>2</v>
      </c>
      <c r="D1" s="6"/>
      <c r="E1" s="7"/>
      <c r="F1" s="7"/>
      <c r="G1" s="6"/>
      <c r="H1" s="6"/>
      <c r="I1" s="6"/>
      <c r="J1" s="6"/>
      <c r="K1" s="6"/>
      <c r="L1" s="7"/>
      <c r="M1" s="7"/>
      <c r="N1" s="7"/>
    </row>
    <row r="2" spans="1:14" s="4" customFormat="1" ht="13.2" x14ac:dyDescent="0.25">
      <c r="A2" s="5" t="s">
        <v>3</v>
      </c>
      <c r="B2" s="7"/>
      <c r="C2" s="7"/>
      <c r="D2" s="6"/>
      <c r="E2" s="7"/>
      <c r="F2" s="7"/>
      <c r="G2" s="6"/>
      <c r="H2" s="6"/>
      <c r="I2" s="6"/>
      <c r="J2" s="6"/>
      <c r="K2" s="6"/>
      <c r="L2" s="7"/>
      <c r="M2" s="7"/>
      <c r="N2" s="7"/>
    </row>
    <row r="3" spans="1:14" ht="13.2" x14ac:dyDescent="0.25">
      <c r="A3" s="8" t="s">
        <v>4</v>
      </c>
      <c r="B3" s="8" t="s">
        <v>5</v>
      </c>
      <c r="C3" s="8" t="s">
        <v>6</v>
      </c>
      <c r="D3" s="8" t="s">
        <v>7</v>
      </c>
      <c r="E3" s="8" t="s">
        <v>4</v>
      </c>
      <c r="F3" s="8" t="s">
        <v>5</v>
      </c>
      <c r="G3" s="8" t="s">
        <v>8</v>
      </c>
      <c r="H3" s="8" t="s">
        <v>9</v>
      </c>
      <c r="I3" s="8" t="s">
        <v>10</v>
      </c>
      <c r="J3" s="8" t="s">
        <v>11</v>
      </c>
      <c r="K3" s="8" t="s">
        <v>12</v>
      </c>
      <c r="L3" s="8" t="s">
        <v>13</v>
      </c>
      <c r="M3" s="8" t="s">
        <v>14</v>
      </c>
      <c r="N3" s="8" t="s">
        <v>15</v>
      </c>
    </row>
    <row r="4" spans="1:14" s="4" customFormat="1" ht="13.2" x14ac:dyDescent="0.25">
      <c r="A4" s="7" t="s">
        <v>16</v>
      </c>
      <c r="B4" s="7"/>
      <c r="C4" s="7"/>
      <c r="D4" s="6"/>
      <c r="E4" s="7"/>
      <c r="F4" s="7"/>
      <c r="G4" s="6"/>
      <c r="H4" s="6"/>
      <c r="I4" s="6"/>
      <c r="J4" s="6"/>
      <c r="K4" s="6"/>
      <c r="L4" s="7"/>
      <c r="M4" s="7"/>
      <c r="N4" s="7"/>
    </row>
    <row r="5" spans="1:14" s="4" customFormat="1" ht="13.2" x14ac:dyDescent="0.25">
      <c r="A5" s="7" t="s">
        <v>17</v>
      </c>
      <c r="B5" s="7" t="s">
        <v>18</v>
      </c>
      <c r="C5" s="7" t="s">
        <v>19</v>
      </c>
      <c r="D5" s="6">
        <v>4.42</v>
      </c>
      <c r="E5" s="7" t="s">
        <v>20</v>
      </c>
      <c r="F5" s="7" t="s">
        <v>18</v>
      </c>
      <c r="G5" s="6">
        <v>151735700.47999999</v>
      </c>
      <c r="H5" s="6">
        <f>_xll.BDP($A5,"IPO_OFFER_PX_TO_LAST_CLOSE_%_CHG",$A$1,$A$2)</f>
        <v>-26.33333</v>
      </c>
      <c r="I5" s="6">
        <f>_xll.BDP($A5,"IPO_OFFER_PX_TO_1ST_OPEN_%_CHG",$A$1,$A$2)</f>
        <v>13.54167</v>
      </c>
      <c r="J5" s="6">
        <v>12</v>
      </c>
      <c r="K5" s="6">
        <v>6500000</v>
      </c>
      <c r="L5" s="7" t="s">
        <v>21</v>
      </c>
      <c r="M5" s="7" t="s">
        <v>22</v>
      </c>
      <c r="N5" s="7" t="s">
        <v>23</v>
      </c>
    </row>
    <row r="6" spans="1:14" s="4" customFormat="1" ht="13.2" x14ac:dyDescent="0.25">
      <c r="A6" s="7" t="s">
        <v>24</v>
      </c>
      <c r="B6" s="7" t="s">
        <v>25</v>
      </c>
      <c r="C6" s="7" t="s">
        <v>26</v>
      </c>
      <c r="D6" s="6"/>
      <c r="E6" s="7" t="s">
        <v>27</v>
      </c>
      <c r="F6" s="7" t="s">
        <v>25</v>
      </c>
      <c r="G6" s="6"/>
      <c r="H6" s="6" t="str">
        <f>_xll.BDP($A6,"IPO_OFFER_PX_TO_LAST_CLOSE_%_CHG",$A$1,$A$2)</f>
        <v>#N/A N/A</v>
      </c>
      <c r="I6" s="6" t="str">
        <f>_xll.BDP($A6,"IPO_OFFER_PX_TO_1ST_OPEN_%_CHG",$A$1,$A$2)</f>
        <v>#N/A N/A</v>
      </c>
      <c r="J6" s="6"/>
      <c r="K6" s="6"/>
      <c r="L6" s="7"/>
      <c r="M6" s="7"/>
      <c r="N6" s="7"/>
    </row>
    <row r="7" spans="1:14" s="4" customFormat="1" ht="13.2" x14ac:dyDescent="0.25">
      <c r="A7" s="7" t="s">
        <v>28</v>
      </c>
      <c r="B7" s="7" t="s">
        <v>29</v>
      </c>
      <c r="C7" s="7" t="s">
        <v>30</v>
      </c>
      <c r="D7" s="6"/>
      <c r="E7" s="7" t="s">
        <v>31</v>
      </c>
      <c r="F7" s="7" t="s">
        <v>29</v>
      </c>
      <c r="G7" s="6"/>
      <c r="H7" s="6" t="str">
        <f>_xll.BDP($A7,"IPO_OFFER_PX_TO_LAST_CLOSE_%_CHG",$A$1,$A$2)</f>
        <v>#N/A N/A</v>
      </c>
      <c r="I7" s="6">
        <f>_xll.BDP($A7,"IPO_OFFER_PX_TO_1ST_OPEN_%_CHG",$A$1,$A$2)</f>
        <v>11.18421</v>
      </c>
      <c r="J7" s="6">
        <v>9.5</v>
      </c>
      <c r="K7" s="6">
        <v>4000000</v>
      </c>
      <c r="L7" s="7"/>
      <c r="M7" s="7"/>
      <c r="N7" s="7"/>
    </row>
    <row r="8" spans="1:14" s="4" customFormat="1" ht="13.2" x14ac:dyDescent="0.25">
      <c r="A8" s="7" t="s">
        <v>32</v>
      </c>
      <c r="B8" s="7" t="s">
        <v>33</v>
      </c>
      <c r="C8" s="7" t="s">
        <v>34</v>
      </c>
      <c r="D8" s="6"/>
      <c r="E8" s="7" t="s">
        <v>35</v>
      </c>
      <c r="F8" s="7" t="s">
        <v>33</v>
      </c>
      <c r="G8" s="6"/>
      <c r="H8" s="6" t="str">
        <f>_xll.BDP($A8,"IPO_OFFER_PX_TO_LAST_CLOSE_%_CHG",$A$1,$A$2)</f>
        <v>#N/A N/A</v>
      </c>
      <c r="I8" s="6" t="str">
        <f>_xll.BDP($A8,"IPO_OFFER_PX_TO_1ST_OPEN_%_CHG",$A$1,$A$2)</f>
        <v>#N/A N/A</v>
      </c>
      <c r="J8" s="6">
        <v>20</v>
      </c>
      <c r="K8" s="6">
        <v>11200000</v>
      </c>
      <c r="L8" s="7"/>
      <c r="M8" s="7"/>
      <c r="N8" s="7"/>
    </row>
    <row r="9" spans="1:14" s="4" customFormat="1" ht="13.2" x14ac:dyDescent="0.25">
      <c r="A9" s="7" t="s">
        <v>36</v>
      </c>
      <c r="B9" s="7" t="s">
        <v>37</v>
      </c>
      <c r="C9" s="7" t="s">
        <v>34</v>
      </c>
      <c r="D9" s="6"/>
      <c r="E9" s="7" t="s">
        <v>38</v>
      </c>
      <c r="F9" s="7" t="s">
        <v>37</v>
      </c>
      <c r="G9" s="6"/>
      <c r="H9" s="6" t="str">
        <f>_xll.BDP($A9,"IPO_OFFER_PX_TO_LAST_CLOSE_%_CHG",$A$1,$A$2)</f>
        <v>#N/A N/A</v>
      </c>
      <c r="I9" s="6">
        <f>_xll.BDP($A9,"IPO_OFFER_PX_TO_1ST_OPEN_%_CHG",$A$1,$A$2)</f>
        <v>2.7777780000000001</v>
      </c>
      <c r="J9" s="6">
        <v>13.5</v>
      </c>
      <c r="K9" s="6">
        <v>10000000</v>
      </c>
      <c r="L9" s="7"/>
      <c r="M9" s="7"/>
      <c r="N9" s="7"/>
    </row>
    <row r="10" spans="1:14" s="4" customFormat="1" ht="13.2" x14ac:dyDescent="0.25">
      <c r="A10" s="7" t="s">
        <v>39</v>
      </c>
      <c r="B10" s="7" t="s">
        <v>40</v>
      </c>
      <c r="C10" s="7" t="s">
        <v>34</v>
      </c>
      <c r="D10" s="6"/>
      <c r="E10" s="7" t="s">
        <v>41</v>
      </c>
      <c r="F10" s="7" t="s">
        <v>40</v>
      </c>
      <c r="G10" s="6"/>
      <c r="H10" s="6" t="str">
        <f>_xll.BDP($A10,"IPO_OFFER_PX_TO_LAST_CLOSE_%_CHG",$A$1,$A$2)</f>
        <v>#N/A N/A</v>
      </c>
      <c r="I10" s="6">
        <f>_xll.BDP($A10,"IPO_OFFER_PX_TO_1ST_OPEN_%_CHG",$A$1,$A$2)</f>
        <v>37.109375</v>
      </c>
      <c r="J10" s="6">
        <v>16</v>
      </c>
      <c r="K10" s="6">
        <v>5000000</v>
      </c>
      <c r="L10" s="7"/>
      <c r="M10" s="7"/>
      <c r="N10" s="7"/>
    </row>
    <row r="11" spans="1:14" s="4" customFormat="1" ht="13.2" x14ac:dyDescent="0.25">
      <c r="A11" s="7" t="s">
        <v>42</v>
      </c>
      <c r="B11" s="7" t="s">
        <v>43</v>
      </c>
      <c r="C11" s="7" t="s">
        <v>34</v>
      </c>
      <c r="D11" s="6"/>
      <c r="E11" s="7" t="s">
        <v>44</v>
      </c>
      <c r="F11" s="7" t="s">
        <v>43</v>
      </c>
      <c r="G11" s="6"/>
      <c r="H11" s="6" t="str">
        <f>_xll.BDP($A11,"IPO_OFFER_PX_TO_LAST_CLOSE_%_CHG",$A$1,$A$2)</f>
        <v>#N/A N/A</v>
      </c>
      <c r="I11" s="6">
        <f>_xll.BDP($A11,"IPO_OFFER_PX_TO_1ST_OPEN_%_CHG",$A$1,$A$2)</f>
        <v>40</v>
      </c>
      <c r="J11" s="6">
        <v>5</v>
      </c>
      <c r="K11" s="6">
        <v>31000000</v>
      </c>
      <c r="L11" s="7"/>
      <c r="M11" s="7"/>
      <c r="N11" s="7"/>
    </row>
    <row r="12" spans="1:14" s="4" customFormat="1" ht="13.2" x14ac:dyDescent="0.25">
      <c r="A12" s="7" t="s">
        <v>45</v>
      </c>
      <c r="B12" s="7" t="s">
        <v>46</v>
      </c>
      <c r="C12" s="7" t="s">
        <v>47</v>
      </c>
      <c r="D12" s="6"/>
      <c r="E12" s="7" t="s">
        <v>48</v>
      </c>
      <c r="F12" s="7" t="s">
        <v>46</v>
      </c>
      <c r="G12" s="6"/>
      <c r="H12" s="6" t="str">
        <f>_xll.BDP($A12,"IPO_OFFER_PX_TO_LAST_CLOSE_%_CHG",$A$1,$A$2)</f>
        <v>#N/A N/A</v>
      </c>
      <c r="I12" s="6">
        <f>_xll.BDP($A12,"IPO_OFFER_PX_TO_1ST_OPEN_%_CHG",$A$1,$A$2)</f>
        <v>-86.862750000000005</v>
      </c>
      <c r="J12" s="6">
        <v>5.0999999999999996</v>
      </c>
      <c r="K12" s="6">
        <v>550000</v>
      </c>
      <c r="L12" s="7"/>
      <c r="M12" s="7"/>
      <c r="N12" s="7"/>
    </row>
    <row r="13" spans="1:14" s="4" customFormat="1" ht="13.2" x14ac:dyDescent="0.25">
      <c r="A13" s="7" t="s">
        <v>49</v>
      </c>
      <c r="B13" s="7" t="s">
        <v>50</v>
      </c>
      <c r="C13" s="7" t="s">
        <v>47</v>
      </c>
      <c r="D13" s="6">
        <v>6.11</v>
      </c>
      <c r="E13" s="7" t="s">
        <v>51</v>
      </c>
      <c r="F13" s="7" t="s">
        <v>50</v>
      </c>
      <c r="G13" s="6">
        <v>27557212.02</v>
      </c>
      <c r="H13" s="6">
        <f>_xll.BDP($A13,"IPO_OFFER_PX_TO_LAST_CLOSE_%_CHG",$A$1,$A$2)</f>
        <v>-89.950659999999999</v>
      </c>
      <c r="I13" s="6">
        <f>_xll.BDP($A13,"IPO_OFFER_PX_TO_1ST_OPEN_%_CHG",$A$1,$A$2)</f>
        <v>6.4453125</v>
      </c>
      <c r="J13" s="6">
        <v>8</v>
      </c>
      <c r="K13" s="6">
        <v>6422450</v>
      </c>
      <c r="L13" s="7" t="s">
        <v>52</v>
      </c>
      <c r="M13" s="7" t="s">
        <v>53</v>
      </c>
      <c r="N13" s="7" t="s">
        <v>53</v>
      </c>
    </row>
    <row r="14" spans="1:14" s="4" customFormat="1" ht="13.2" x14ac:dyDescent="0.25">
      <c r="A14" s="7" t="s">
        <v>54</v>
      </c>
      <c r="B14" s="7" t="s">
        <v>55</v>
      </c>
      <c r="C14" s="7" t="s">
        <v>56</v>
      </c>
      <c r="D14" s="6">
        <v>39.67</v>
      </c>
      <c r="E14" s="7" t="s">
        <v>57</v>
      </c>
      <c r="F14" s="7" t="s">
        <v>55</v>
      </c>
      <c r="G14" s="6">
        <v>733977513.60000014</v>
      </c>
      <c r="H14" s="6">
        <f>_xll.BDP($A14,"IPO_OFFER_PX_TO_LAST_CLOSE_%_CHG",$A$1,$A$2)</f>
        <v>-93.703180000000003</v>
      </c>
      <c r="I14" s="6">
        <f>_xll.BDP($A14,"IPO_OFFER_PX_TO_1ST_OPEN_%_CHG",$A$1,$A$2)</f>
        <v>3.5714290000000002</v>
      </c>
      <c r="J14" s="6">
        <v>7</v>
      </c>
      <c r="K14" s="6">
        <v>5000000</v>
      </c>
      <c r="L14" s="7" t="s">
        <v>52</v>
      </c>
      <c r="M14" s="7" t="s">
        <v>58</v>
      </c>
      <c r="N14" s="7" t="s">
        <v>58</v>
      </c>
    </row>
    <row r="15" spans="1:14" s="4" customFormat="1" ht="13.2" x14ac:dyDescent="0.25">
      <c r="A15" s="7" t="s">
        <v>59</v>
      </c>
      <c r="B15" s="7" t="s">
        <v>60</v>
      </c>
      <c r="C15" s="7" t="s">
        <v>61</v>
      </c>
      <c r="D15" s="6"/>
      <c r="E15" s="7" t="s">
        <v>62</v>
      </c>
      <c r="F15" s="7" t="s">
        <v>60</v>
      </c>
      <c r="G15" s="6"/>
      <c r="H15" s="6" t="str">
        <f>_xll.BDP($A15,"IPO_OFFER_PX_TO_LAST_CLOSE_%_CHG",$A$1,$A$2)</f>
        <v>#N/A N/A</v>
      </c>
      <c r="I15" s="6">
        <f>_xll.BDP($A15,"IPO_OFFER_PX_TO_1ST_OPEN_%_CHG",$A$1,$A$2)</f>
        <v>0.14204549999999999</v>
      </c>
      <c r="J15" s="6">
        <v>11</v>
      </c>
      <c r="K15" s="6">
        <v>4500000</v>
      </c>
      <c r="L15" s="7"/>
      <c r="M15" s="7"/>
      <c r="N15" s="7"/>
    </row>
    <row r="16" spans="1:14" s="4" customFormat="1" ht="13.2" x14ac:dyDescent="0.25">
      <c r="A16" s="7" t="s">
        <v>63</v>
      </c>
      <c r="B16" s="7" t="s">
        <v>64</v>
      </c>
      <c r="C16" s="7" t="s">
        <v>65</v>
      </c>
      <c r="D16" s="6"/>
      <c r="E16" s="7" t="s">
        <v>66</v>
      </c>
      <c r="F16" s="7" t="s">
        <v>64</v>
      </c>
      <c r="G16" s="6"/>
      <c r="H16" s="6" t="str">
        <f>_xll.BDP($A16,"IPO_OFFER_PX_TO_LAST_CLOSE_%_CHG",$A$1,$A$2)</f>
        <v>#N/A N/A</v>
      </c>
      <c r="I16" s="6">
        <f>_xll.BDP($A16,"IPO_OFFER_PX_TO_1ST_OPEN_%_CHG",$A$1,$A$2)</f>
        <v>1.875</v>
      </c>
      <c r="J16" s="6">
        <v>10</v>
      </c>
      <c r="K16" s="6">
        <v>5000000</v>
      </c>
      <c r="L16" s="7"/>
      <c r="M16" s="7"/>
      <c r="N16" s="7"/>
    </row>
    <row r="17" spans="1:14" s="4" customFormat="1" ht="13.2" x14ac:dyDescent="0.25">
      <c r="A17" s="7" t="s">
        <v>67</v>
      </c>
      <c r="B17" s="7" t="s">
        <v>68</v>
      </c>
      <c r="C17" s="7" t="s">
        <v>65</v>
      </c>
      <c r="D17" s="6"/>
      <c r="E17" s="7" t="s">
        <v>69</v>
      </c>
      <c r="F17" s="7" t="s">
        <v>68</v>
      </c>
      <c r="G17" s="6"/>
      <c r="H17" s="6" t="str">
        <f>_xll.BDP($A17,"IPO_OFFER_PX_TO_LAST_CLOSE_%_CHG",$A$1,$A$2)</f>
        <v>#N/A N/A</v>
      </c>
      <c r="I17" s="6">
        <f>_xll.BDP($A17,"IPO_OFFER_PX_TO_1ST_OPEN_%_CHG",$A$1,$A$2)</f>
        <v>8.75</v>
      </c>
      <c r="J17" s="6">
        <v>7.5</v>
      </c>
      <c r="K17" s="6">
        <v>6500000</v>
      </c>
      <c r="L17" s="7"/>
      <c r="M17" s="7"/>
      <c r="N17" s="7"/>
    </row>
    <row r="18" spans="1:14" s="4" customFormat="1" ht="13.2" x14ac:dyDescent="0.25">
      <c r="A18" s="7" t="s">
        <v>70</v>
      </c>
      <c r="B18" s="7" t="s">
        <v>71</v>
      </c>
      <c r="C18" s="7" t="s">
        <v>65</v>
      </c>
      <c r="D18" s="6"/>
      <c r="E18" s="7" t="s">
        <v>72</v>
      </c>
      <c r="F18" s="7" t="s">
        <v>71</v>
      </c>
      <c r="G18" s="6"/>
      <c r="H18" s="6" t="str">
        <f>_xll.BDP($A18,"IPO_OFFER_PX_TO_LAST_CLOSE_%_CHG",$A$1,$A$2)</f>
        <v>#N/A N/A</v>
      </c>
      <c r="I18" s="6">
        <f>_xll.BDP($A18,"IPO_OFFER_PX_TO_1ST_OPEN_%_CHG",$A$1,$A$2)</f>
        <v>2.6041669999999999</v>
      </c>
      <c r="J18" s="6">
        <v>6</v>
      </c>
      <c r="K18" s="6">
        <v>8000000</v>
      </c>
      <c r="L18" s="7"/>
      <c r="M18" s="7"/>
      <c r="N18" s="7"/>
    </row>
    <row r="19" spans="1:14" s="4" customFormat="1" ht="13.2" x14ac:dyDescent="0.25">
      <c r="A19" s="7" t="s">
        <v>73</v>
      </c>
      <c r="B19" s="7" t="s">
        <v>74</v>
      </c>
      <c r="C19" s="7" t="s">
        <v>75</v>
      </c>
      <c r="D19" s="6">
        <v>744.03</v>
      </c>
      <c r="E19" s="7" t="s">
        <v>76</v>
      </c>
      <c r="F19" s="7" t="s">
        <v>74</v>
      </c>
      <c r="G19" s="6">
        <v>33064900040.34</v>
      </c>
      <c r="H19" s="6" t="str">
        <f>_xll.BDP($A19,"IPO_OFFER_PX_TO_LAST_CLOSE_%_CHG",$A$1,$A$2)</f>
        <v>#N/A N/A</v>
      </c>
      <c r="I19" s="6" t="str">
        <f>_xll.BDP($A19,"IPO_OFFER_PX_TO_1ST_OPEN_%_CHG",$A$1,$A$2)</f>
        <v>#N/A N/A</v>
      </c>
      <c r="J19" s="6"/>
      <c r="K19" s="6"/>
      <c r="L19" s="7" t="s">
        <v>21</v>
      </c>
      <c r="M19" s="7" t="s">
        <v>77</v>
      </c>
      <c r="N19" s="7" t="s">
        <v>77</v>
      </c>
    </row>
    <row r="20" spans="1:14" s="4" customFormat="1" ht="13.2" x14ac:dyDescent="0.25">
      <c r="A20" s="7" t="s">
        <v>78</v>
      </c>
      <c r="B20" s="7" t="s">
        <v>79</v>
      </c>
      <c r="C20" s="7" t="s">
        <v>75</v>
      </c>
      <c r="D20" s="6"/>
      <c r="E20" s="7" t="s">
        <v>80</v>
      </c>
      <c r="F20" s="7" t="s">
        <v>79</v>
      </c>
      <c r="G20" s="6"/>
      <c r="H20" s="6" t="str">
        <f>_xll.BDP($A20,"IPO_OFFER_PX_TO_LAST_CLOSE_%_CHG",$A$1,$A$2)</f>
        <v>#N/A N/A</v>
      </c>
      <c r="I20" s="6">
        <f>_xll.BDP($A20,"IPO_OFFER_PX_TO_1ST_OPEN_%_CHG",$A$1,$A$2)</f>
        <v>4.6875</v>
      </c>
      <c r="J20" s="6">
        <v>8</v>
      </c>
      <c r="K20" s="6">
        <v>7000000</v>
      </c>
      <c r="L20" s="7"/>
      <c r="M20" s="7"/>
      <c r="N20" s="7"/>
    </row>
    <row r="21" spans="1:14" s="4" customFormat="1" ht="13.2" x14ac:dyDescent="0.25">
      <c r="A21" s="7" t="s">
        <v>81</v>
      </c>
      <c r="B21" s="7" t="s">
        <v>82</v>
      </c>
      <c r="C21" s="7" t="s">
        <v>83</v>
      </c>
      <c r="D21" s="6"/>
      <c r="E21" s="7" t="s">
        <v>84</v>
      </c>
      <c r="F21" s="7" t="s">
        <v>82</v>
      </c>
      <c r="G21" s="6"/>
      <c r="H21" s="6" t="str">
        <f>_xll.BDP($A21,"IPO_OFFER_PX_TO_LAST_CLOSE_%_CHG",$A$1,$A$2)</f>
        <v>#N/A N/A</v>
      </c>
      <c r="I21" s="6">
        <f>_xll.BDP($A21,"IPO_OFFER_PX_TO_1ST_OPEN_%_CHG",$A$1,$A$2)</f>
        <v>10</v>
      </c>
      <c r="J21" s="6">
        <v>20</v>
      </c>
      <c r="K21" s="6">
        <v>27500000</v>
      </c>
      <c r="L21" s="7"/>
      <c r="M21" s="7"/>
      <c r="N21" s="7"/>
    </row>
    <row r="22" spans="1:14" s="4" customFormat="1" ht="13.2" x14ac:dyDescent="0.25">
      <c r="A22" s="7" t="s">
        <v>85</v>
      </c>
      <c r="B22" s="7" t="s">
        <v>86</v>
      </c>
      <c r="C22" s="7" t="s">
        <v>83</v>
      </c>
      <c r="D22" s="6"/>
      <c r="E22" s="7" t="s">
        <v>87</v>
      </c>
      <c r="F22" s="7" t="s">
        <v>86</v>
      </c>
      <c r="G22" s="6"/>
      <c r="H22" s="6" t="str">
        <f>_xll.BDP($A22,"IPO_OFFER_PX_TO_LAST_CLOSE_%_CHG",$A$1,$A$2)</f>
        <v>#N/A N/A</v>
      </c>
      <c r="I22" s="6">
        <f>_xll.BDP($A22,"IPO_OFFER_PX_TO_1ST_OPEN_%_CHG",$A$1,$A$2)</f>
        <v>0.2083333</v>
      </c>
      <c r="J22" s="6">
        <v>15</v>
      </c>
      <c r="K22" s="6">
        <v>6000000</v>
      </c>
      <c r="L22" s="7"/>
      <c r="M22" s="7"/>
      <c r="N22" s="7"/>
    </row>
    <row r="23" spans="1:14" s="4" customFormat="1" ht="13.2" x14ac:dyDescent="0.25">
      <c r="A23" s="7" t="s">
        <v>88</v>
      </c>
      <c r="B23" s="7" t="s">
        <v>89</v>
      </c>
      <c r="C23" s="7" t="s">
        <v>83</v>
      </c>
      <c r="D23" s="6"/>
      <c r="E23" s="7" t="s">
        <v>90</v>
      </c>
      <c r="F23" s="7" t="s">
        <v>89</v>
      </c>
      <c r="G23" s="6"/>
      <c r="H23" s="6" t="str">
        <f>_xll.BDP($A23,"IPO_OFFER_PX_TO_LAST_CLOSE_%_CHG",$A$1,$A$2)</f>
        <v>#N/A N/A</v>
      </c>
      <c r="I23" s="6">
        <f>_xll.BDP($A23,"IPO_OFFER_PX_TO_1ST_OPEN_%_CHG",$A$1,$A$2)</f>
        <v>0</v>
      </c>
      <c r="J23" s="6">
        <v>7</v>
      </c>
      <c r="K23" s="6">
        <v>3445000</v>
      </c>
      <c r="L23" s="7"/>
      <c r="M23" s="7"/>
      <c r="N23" s="7"/>
    </row>
    <row r="24" spans="1:14" s="4" customFormat="1" ht="13.2" x14ac:dyDescent="0.25">
      <c r="A24" s="7" t="s">
        <v>91</v>
      </c>
      <c r="B24" s="7" t="s">
        <v>92</v>
      </c>
      <c r="C24" s="7" t="s">
        <v>93</v>
      </c>
      <c r="D24" s="6"/>
      <c r="E24" s="7" t="s">
        <v>94</v>
      </c>
      <c r="F24" s="7" t="s">
        <v>92</v>
      </c>
      <c r="G24" s="6"/>
      <c r="H24" s="6" t="str">
        <f>_xll.BDP($A24,"IPO_OFFER_PX_TO_LAST_CLOSE_%_CHG",$A$1,$A$2)</f>
        <v>#N/A N/A</v>
      </c>
      <c r="I24" s="6">
        <f>_xll.BDP($A24,"IPO_OFFER_PX_TO_1ST_OPEN_%_CHG",$A$1,$A$2)</f>
        <v>2.0833330000000001</v>
      </c>
      <c r="J24" s="6">
        <v>12</v>
      </c>
      <c r="K24" s="6">
        <v>3600000</v>
      </c>
      <c r="L24" s="7"/>
      <c r="M24" s="7"/>
      <c r="N24" s="7"/>
    </row>
    <row r="25" spans="1:14" s="4" customFormat="1" ht="13.2" x14ac:dyDescent="0.25">
      <c r="A25" s="7" t="s">
        <v>95</v>
      </c>
      <c r="B25" s="7" t="s">
        <v>96</v>
      </c>
      <c r="C25" s="7" t="s">
        <v>93</v>
      </c>
      <c r="D25" s="6"/>
      <c r="E25" s="7" t="s">
        <v>97</v>
      </c>
      <c r="F25" s="7" t="s">
        <v>96</v>
      </c>
      <c r="G25" s="6"/>
      <c r="H25" s="6" t="str">
        <f>_xll.BDP($A25,"IPO_OFFER_PX_TO_LAST_CLOSE_%_CHG",$A$1,$A$2)</f>
        <v>#N/A N/A</v>
      </c>
      <c r="I25" s="6">
        <f>_xll.BDP($A25,"IPO_OFFER_PX_TO_1ST_OPEN_%_CHG",$A$1,$A$2)</f>
        <v>0.52083330000000005</v>
      </c>
      <c r="J25" s="6">
        <v>12</v>
      </c>
      <c r="K25" s="6">
        <v>12000000</v>
      </c>
      <c r="L25" s="7"/>
      <c r="M25" s="7"/>
      <c r="N25" s="7"/>
    </row>
    <row r="26" spans="1:14" s="4" customFormat="1" ht="13.2" x14ac:dyDescent="0.25">
      <c r="A26" s="7" t="s">
        <v>98</v>
      </c>
      <c r="B26" s="7" t="s">
        <v>99</v>
      </c>
      <c r="C26" s="7" t="s">
        <v>93</v>
      </c>
      <c r="D26" s="6"/>
      <c r="E26" s="7" t="s">
        <v>100</v>
      </c>
      <c r="F26" s="7" t="s">
        <v>99</v>
      </c>
      <c r="G26" s="6"/>
      <c r="H26" s="6" t="str">
        <f>_xll.BDP($A26,"IPO_OFFER_PX_TO_LAST_CLOSE_%_CHG",$A$1,$A$2)</f>
        <v>#N/A N/A</v>
      </c>
      <c r="I26" s="6">
        <f>_xll.BDP($A26,"IPO_OFFER_PX_TO_1ST_OPEN_%_CHG",$A$1,$A$2)</f>
        <v>8.8541670000000003</v>
      </c>
      <c r="J26" s="6">
        <v>12</v>
      </c>
      <c r="K26" s="6">
        <v>3500000</v>
      </c>
      <c r="L26" s="7"/>
      <c r="M26" s="7"/>
      <c r="N26" s="7"/>
    </row>
    <row r="27" spans="1:14" s="4" customFormat="1" ht="13.2" x14ac:dyDescent="0.25">
      <c r="A27" s="7" t="s">
        <v>101</v>
      </c>
      <c r="B27" s="7" t="s">
        <v>102</v>
      </c>
      <c r="C27" s="7" t="s">
        <v>103</v>
      </c>
      <c r="D27" s="6"/>
      <c r="E27" s="7" t="s">
        <v>104</v>
      </c>
      <c r="F27" s="7" t="s">
        <v>102</v>
      </c>
      <c r="G27" s="6"/>
      <c r="H27" s="6" t="str">
        <f>_xll.BDP($A27,"IPO_OFFER_PX_TO_LAST_CLOSE_%_CHG",$A$1,$A$2)</f>
        <v>#N/A N/A</v>
      </c>
      <c r="I27" s="6">
        <f>_xll.BDP($A27,"IPO_OFFER_PX_TO_1ST_OPEN_%_CHG",$A$1,$A$2)</f>
        <v>-6.3492059999999997</v>
      </c>
      <c r="J27" s="6">
        <v>7.875</v>
      </c>
      <c r="K27" s="6">
        <v>1000000</v>
      </c>
      <c r="L27" s="7"/>
      <c r="M27" s="7"/>
      <c r="N27" s="7"/>
    </row>
    <row r="28" spans="1:14" s="4" customFormat="1" ht="13.2" x14ac:dyDescent="0.25">
      <c r="A28" s="7" t="s">
        <v>105</v>
      </c>
      <c r="B28" s="7" t="s">
        <v>106</v>
      </c>
      <c r="C28" s="7" t="s">
        <v>107</v>
      </c>
      <c r="D28" s="6"/>
      <c r="E28" s="7" t="s">
        <v>108</v>
      </c>
      <c r="F28" s="7" t="s">
        <v>106</v>
      </c>
      <c r="G28" s="6"/>
      <c r="H28" s="6" t="str">
        <f>_xll.BDP($A28,"IPO_OFFER_PX_TO_LAST_CLOSE_%_CHG",$A$1,$A$2)</f>
        <v>#N/A N/A</v>
      </c>
      <c r="I28" s="6">
        <f>_xll.BDP($A28,"IPO_OFFER_PX_TO_1ST_OPEN_%_CHG",$A$1,$A$2)</f>
        <v>109.52379999999999</v>
      </c>
      <c r="J28" s="6">
        <v>21</v>
      </c>
      <c r="K28" s="6">
        <v>13000000</v>
      </c>
      <c r="L28" s="7"/>
      <c r="M28" s="7"/>
      <c r="N28" s="7"/>
    </row>
    <row r="29" spans="1:14" s="4" customFormat="1" ht="13.2" x14ac:dyDescent="0.25">
      <c r="A29" s="7" t="s">
        <v>109</v>
      </c>
      <c r="B29" s="7" t="s">
        <v>110</v>
      </c>
      <c r="C29" s="7" t="s">
        <v>111</v>
      </c>
      <c r="D29" s="6"/>
      <c r="E29" s="7" t="s">
        <v>112</v>
      </c>
      <c r="F29" s="7" t="s">
        <v>110</v>
      </c>
      <c r="G29" s="6"/>
      <c r="H29" s="6" t="str">
        <f>_xll.BDP($A29,"IPO_OFFER_PX_TO_LAST_CLOSE_%_CHG",$A$1,$A$2)</f>
        <v>#N/A N/A</v>
      </c>
      <c r="I29" s="6">
        <f>_xll.BDP($A29,"IPO_OFFER_PX_TO_1ST_OPEN_%_CHG",$A$1,$A$2)</f>
        <v>63.636360000000003</v>
      </c>
      <c r="J29" s="6">
        <v>11</v>
      </c>
      <c r="K29" s="6">
        <v>10500000</v>
      </c>
      <c r="L29" s="7"/>
      <c r="M29" s="7"/>
      <c r="N29" s="7"/>
    </row>
    <row r="30" spans="1:14" s="4" customFormat="1" ht="13.2" x14ac:dyDescent="0.25">
      <c r="A30" s="7" t="s">
        <v>113</v>
      </c>
      <c r="B30" s="7" t="s">
        <v>114</v>
      </c>
      <c r="C30" s="7" t="s">
        <v>115</v>
      </c>
      <c r="D30" s="6"/>
      <c r="E30" s="7" t="s">
        <v>116</v>
      </c>
      <c r="F30" s="7" t="s">
        <v>114</v>
      </c>
      <c r="G30" s="6"/>
      <c r="H30" s="6" t="str">
        <f>_xll.BDP($A30,"IPO_OFFER_PX_TO_LAST_CLOSE_%_CHG",$A$1,$A$2)</f>
        <v>#N/A N/A</v>
      </c>
      <c r="I30" s="6" t="str">
        <f>_xll.BDP($A30,"IPO_OFFER_PX_TO_1ST_OPEN_%_CHG",$A$1,$A$2)</f>
        <v>#N/A N/A</v>
      </c>
      <c r="J30" s="6"/>
      <c r="K30" s="6"/>
      <c r="L30" s="7"/>
      <c r="M30" s="7"/>
      <c r="N30" s="7"/>
    </row>
    <row r="31" spans="1:14" s="4" customFormat="1" ht="13.2" x14ac:dyDescent="0.25">
      <c r="A31" s="7" t="s">
        <v>117</v>
      </c>
      <c r="B31" s="7" t="s">
        <v>118</v>
      </c>
      <c r="C31" s="7" t="s">
        <v>115</v>
      </c>
      <c r="D31" s="6"/>
      <c r="E31" s="7" t="s">
        <v>119</v>
      </c>
      <c r="F31" s="7" t="s">
        <v>118</v>
      </c>
      <c r="G31" s="6"/>
      <c r="H31" s="6" t="str">
        <f>_xll.BDP($A31,"IPO_OFFER_PX_TO_LAST_CLOSE_%_CHG",$A$1,$A$2)</f>
        <v>#N/A N/A</v>
      </c>
      <c r="I31" s="6">
        <f>_xll.BDP($A31,"IPO_OFFER_PX_TO_1ST_OPEN_%_CHG",$A$1,$A$2)</f>
        <v>2.5</v>
      </c>
      <c r="J31" s="6">
        <v>15</v>
      </c>
      <c r="K31" s="6">
        <v>5750000</v>
      </c>
      <c r="L31" s="7"/>
      <c r="M31" s="7"/>
      <c r="N31" s="7"/>
    </row>
    <row r="32" spans="1:14" s="4" customFormat="1" ht="13.2" x14ac:dyDescent="0.25">
      <c r="A32" s="7" t="s">
        <v>120</v>
      </c>
      <c r="B32" s="7" t="s">
        <v>121</v>
      </c>
      <c r="C32" s="7" t="s">
        <v>115</v>
      </c>
      <c r="D32" s="6"/>
      <c r="E32" s="7" t="s">
        <v>122</v>
      </c>
      <c r="F32" s="7" t="s">
        <v>121</v>
      </c>
      <c r="G32" s="6"/>
      <c r="H32" s="6" t="str">
        <f>_xll.BDP($A32,"IPO_OFFER_PX_TO_LAST_CLOSE_%_CHG",$A$1,$A$2)</f>
        <v>#N/A N/A</v>
      </c>
      <c r="I32" s="6">
        <f>_xll.BDP($A32,"IPO_OFFER_PX_TO_1ST_OPEN_%_CHG",$A$1,$A$2)</f>
        <v>2.5</v>
      </c>
      <c r="J32" s="6">
        <v>10</v>
      </c>
      <c r="K32" s="6">
        <v>6100000</v>
      </c>
      <c r="L32" s="7"/>
      <c r="M32" s="7"/>
      <c r="N32" s="7"/>
    </row>
    <row r="33" spans="1:14" s="4" customFormat="1" ht="13.2" x14ac:dyDescent="0.25">
      <c r="A33" s="7" t="s">
        <v>123</v>
      </c>
      <c r="B33" s="7" t="s">
        <v>124</v>
      </c>
      <c r="C33" s="7" t="s">
        <v>125</v>
      </c>
      <c r="D33" s="6"/>
      <c r="E33" s="7" t="s">
        <v>126</v>
      </c>
      <c r="F33" s="7" t="s">
        <v>124</v>
      </c>
      <c r="G33" s="6"/>
      <c r="H33" s="6" t="str">
        <f>_xll.BDP($A33,"IPO_OFFER_PX_TO_LAST_CLOSE_%_CHG",$A$1,$A$2)</f>
        <v>#N/A N/A</v>
      </c>
      <c r="I33" s="6">
        <f>_xll.BDP($A33,"IPO_OFFER_PX_TO_1ST_OPEN_%_CHG",$A$1,$A$2)</f>
        <v>12.5</v>
      </c>
      <c r="J33" s="6">
        <v>14</v>
      </c>
      <c r="K33" s="6">
        <v>3000000</v>
      </c>
      <c r="L33" s="7"/>
      <c r="M33" s="7"/>
      <c r="N33" s="7"/>
    </row>
    <row r="34" spans="1:14" s="4" customFormat="1" ht="13.2" x14ac:dyDescent="0.25">
      <c r="A34" s="7" t="s">
        <v>127</v>
      </c>
      <c r="B34" s="7" t="s">
        <v>128</v>
      </c>
      <c r="C34" s="7" t="s">
        <v>129</v>
      </c>
      <c r="D34" s="6"/>
      <c r="E34" s="7" t="s">
        <v>130</v>
      </c>
      <c r="F34" s="7" t="s">
        <v>128</v>
      </c>
      <c r="G34" s="6"/>
      <c r="H34" s="6" t="str">
        <f>_xll.BDP($A34,"IPO_OFFER_PX_TO_LAST_CLOSE_%_CHG",$A$1,$A$2)</f>
        <v>#N/A N/A</v>
      </c>
      <c r="I34" s="6" t="str">
        <f>_xll.BDP($A34,"IPO_OFFER_PX_TO_1ST_OPEN_%_CHG",$A$1,$A$2)</f>
        <v>#N/A N/A</v>
      </c>
      <c r="J34" s="6">
        <v>7</v>
      </c>
      <c r="K34" s="6">
        <v>10000000</v>
      </c>
      <c r="L34" s="7"/>
      <c r="M34" s="7"/>
      <c r="N34" s="7"/>
    </row>
    <row r="35" spans="1:14" s="4" customFormat="1" ht="13.2" x14ac:dyDescent="0.25">
      <c r="A35" s="7" t="s">
        <v>131</v>
      </c>
      <c r="B35" s="7" t="s">
        <v>132</v>
      </c>
      <c r="C35" s="7" t="s">
        <v>133</v>
      </c>
      <c r="D35" s="6"/>
      <c r="E35" s="7" t="s">
        <v>134</v>
      </c>
      <c r="F35" s="7" t="s">
        <v>132</v>
      </c>
      <c r="G35" s="6"/>
      <c r="H35" s="6" t="str">
        <f>_xll.BDP($A35,"IPO_OFFER_PX_TO_LAST_CLOSE_%_CHG",$A$1,$A$2)</f>
        <v>#N/A N/A</v>
      </c>
      <c r="I35" s="6">
        <f>_xll.BDP($A35,"IPO_OFFER_PX_TO_1ST_OPEN_%_CHG",$A$1,$A$2)</f>
        <v>0.44642860000000001</v>
      </c>
      <c r="J35" s="6">
        <v>7</v>
      </c>
      <c r="K35" s="6">
        <v>6400000</v>
      </c>
      <c r="L35" s="7"/>
      <c r="M35" s="7"/>
      <c r="N35" s="7"/>
    </row>
    <row r="36" spans="1:14" s="4" customFormat="1" ht="13.2" x14ac:dyDescent="0.25">
      <c r="A36" s="7" t="s">
        <v>135</v>
      </c>
      <c r="B36" s="7" t="s">
        <v>136</v>
      </c>
      <c r="C36" s="7" t="s">
        <v>137</v>
      </c>
      <c r="D36" s="6">
        <v>2.3300000000000001E-2</v>
      </c>
      <c r="E36" s="7" t="s">
        <v>138</v>
      </c>
      <c r="F36" s="7" t="s">
        <v>136</v>
      </c>
      <c r="G36" s="6">
        <v>376317.18160000007</v>
      </c>
      <c r="H36" s="6">
        <f>_xll.BDP($A36,"IPO_OFFER_PX_TO_LAST_CLOSE_%_CHG",$A$1,$A$2)</f>
        <v>-99.611660000000001</v>
      </c>
      <c r="I36" s="6">
        <f>_xll.BDP($A36,"IPO_OFFER_PX_TO_1ST_OPEN_%_CHG",$A$1,$A$2)</f>
        <v>0</v>
      </c>
      <c r="J36" s="6">
        <v>6</v>
      </c>
      <c r="K36" s="6">
        <v>1000000</v>
      </c>
      <c r="L36" s="7" t="s">
        <v>21</v>
      </c>
      <c r="M36" s="7" t="s">
        <v>22</v>
      </c>
      <c r="N36" s="7" t="s">
        <v>23</v>
      </c>
    </row>
    <row r="37" spans="1:14" s="4" customFormat="1" ht="13.2" x14ac:dyDescent="0.25">
      <c r="A37" s="7" t="s">
        <v>139</v>
      </c>
      <c r="B37" s="7" t="s">
        <v>140</v>
      </c>
      <c r="C37" s="7" t="s">
        <v>137</v>
      </c>
      <c r="D37" s="6"/>
      <c r="E37" s="7" t="s">
        <v>141</v>
      </c>
      <c r="F37" s="7" t="s">
        <v>140</v>
      </c>
      <c r="G37" s="6"/>
      <c r="H37" s="6" t="str">
        <f>_xll.BDP($A37,"IPO_OFFER_PX_TO_LAST_CLOSE_%_CHG",$A$1,$A$2)</f>
        <v>#N/A N/A</v>
      </c>
      <c r="I37" s="6">
        <f>_xll.BDP($A37,"IPO_OFFER_PX_TO_1ST_OPEN_%_CHG",$A$1,$A$2)</f>
        <v>-5.8823530000000002</v>
      </c>
      <c r="J37" s="6">
        <v>8.5</v>
      </c>
      <c r="K37" s="6">
        <v>388300</v>
      </c>
      <c r="L37" s="7"/>
      <c r="M37" s="7"/>
      <c r="N37" s="7"/>
    </row>
    <row r="38" spans="1:14" s="4" customFormat="1" ht="13.2" x14ac:dyDescent="0.25">
      <c r="A38" s="7" t="s">
        <v>142</v>
      </c>
      <c r="B38" s="7" t="s">
        <v>143</v>
      </c>
      <c r="C38" s="7" t="s">
        <v>144</v>
      </c>
      <c r="D38" s="6"/>
      <c r="E38" s="7" t="s">
        <v>145</v>
      </c>
      <c r="F38" s="7" t="s">
        <v>143</v>
      </c>
      <c r="G38" s="6"/>
      <c r="H38" s="6" t="str">
        <f>_xll.BDP($A38,"IPO_OFFER_PX_TO_LAST_CLOSE_%_CHG",$A$1,$A$2)</f>
        <v>#N/A N/A</v>
      </c>
      <c r="I38" s="6">
        <f>_xll.BDP($A38,"IPO_OFFER_PX_TO_1ST_OPEN_%_CHG",$A$1,$A$2)</f>
        <v>6.6666670000000003</v>
      </c>
      <c r="J38" s="6">
        <v>15</v>
      </c>
      <c r="K38" s="6">
        <v>10180000</v>
      </c>
      <c r="L38" s="7"/>
      <c r="M38" s="7"/>
      <c r="N38" s="7"/>
    </row>
    <row r="39" spans="1:14" s="4" customFormat="1" ht="13.2" x14ac:dyDescent="0.25">
      <c r="A39" s="7" t="s">
        <v>146</v>
      </c>
      <c r="B39" s="7" t="s">
        <v>147</v>
      </c>
      <c r="C39" s="7" t="s">
        <v>148</v>
      </c>
      <c r="D39" s="6"/>
      <c r="E39" s="7" t="s">
        <v>149</v>
      </c>
      <c r="F39" s="7" t="s">
        <v>147</v>
      </c>
      <c r="G39" s="6"/>
      <c r="H39" s="6" t="str">
        <f>_xll.BDP($A39,"IPO_OFFER_PX_TO_LAST_CLOSE_%_CHG",$A$1,$A$2)</f>
        <v>#N/A N/A</v>
      </c>
      <c r="I39" s="6">
        <f>_xll.BDP($A39,"IPO_OFFER_PX_TO_1ST_OPEN_%_CHG",$A$1,$A$2)</f>
        <v>10</v>
      </c>
      <c r="J39" s="6">
        <v>20</v>
      </c>
      <c r="K39" s="6">
        <v>35000000</v>
      </c>
      <c r="L39" s="7"/>
      <c r="M39" s="7"/>
      <c r="N39" s="7"/>
    </row>
    <row r="40" spans="1:14" s="4" customFormat="1" ht="13.2" x14ac:dyDescent="0.25">
      <c r="A40" s="7" t="s">
        <v>150</v>
      </c>
      <c r="B40" s="7" t="s">
        <v>151</v>
      </c>
      <c r="C40" s="7" t="s">
        <v>148</v>
      </c>
      <c r="D40" s="6"/>
      <c r="E40" s="7" t="s">
        <v>152</v>
      </c>
      <c r="F40" s="7" t="s">
        <v>151</v>
      </c>
      <c r="G40" s="6"/>
      <c r="H40" s="6" t="str">
        <f>_xll.BDP($A40,"IPO_OFFER_PX_TO_LAST_CLOSE_%_CHG",$A$1,$A$2)</f>
        <v>#N/A N/A</v>
      </c>
      <c r="I40" s="6">
        <f>_xll.BDP($A40,"IPO_OFFER_PX_TO_1ST_OPEN_%_CHG",$A$1,$A$2)</f>
        <v>54.326920000000001</v>
      </c>
      <c r="J40" s="6">
        <v>13</v>
      </c>
      <c r="K40" s="6">
        <v>5500000</v>
      </c>
      <c r="L40" s="7"/>
      <c r="M40" s="7"/>
      <c r="N40" s="7"/>
    </row>
    <row r="41" spans="1:14" s="4" customFormat="1" ht="13.2" x14ac:dyDescent="0.25">
      <c r="A41" s="7" t="s">
        <v>153</v>
      </c>
      <c r="B41" s="7" t="s">
        <v>154</v>
      </c>
      <c r="C41" s="7" t="s">
        <v>155</v>
      </c>
      <c r="D41" s="6"/>
      <c r="E41" s="7" t="s">
        <v>156</v>
      </c>
      <c r="F41" s="7" t="s">
        <v>154</v>
      </c>
      <c r="G41" s="6"/>
      <c r="H41" s="6" t="str">
        <f>_xll.BDP($A41,"IPO_OFFER_PX_TO_LAST_CLOSE_%_CHG",$A$1,$A$2)</f>
        <v>#N/A N/A</v>
      </c>
      <c r="I41" s="6">
        <f>_xll.BDP($A41,"IPO_OFFER_PX_TO_1ST_OPEN_%_CHG",$A$1,$A$2)</f>
        <v>0</v>
      </c>
      <c r="J41" s="6">
        <v>14</v>
      </c>
      <c r="K41" s="6">
        <v>6000000</v>
      </c>
      <c r="L41" s="7"/>
      <c r="M41" s="7"/>
      <c r="N41" s="7"/>
    </row>
    <row r="42" spans="1:14" s="4" customFormat="1" ht="13.2" x14ac:dyDescent="0.25">
      <c r="A42" s="7" t="s">
        <v>157</v>
      </c>
      <c r="B42" s="7" t="s">
        <v>158</v>
      </c>
      <c r="C42" s="7" t="s">
        <v>159</v>
      </c>
      <c r="D42" s="6"/>
      <c r="E42" s="7" t="s">
        <v>160</v>
      </c>
      <c r="F42" s="7" t="s">
        <v>158</v>
      </c>
      <c r="G42" s="6"/>
      <c r="H42" s="6" t="str">
        <f>_xll.BDP($A42,"IPO_OFFER_PX_TO_LAST_CLOSE_%_CHG",$A$1,$A$2)</f>
        <v>#N/A N/A</v>
      </c>
      <c r="I42" s="6">
        <f>_xll.BDP($A42,"IPO_OFFER_PX_TO_1ST_OPEN_%_CHG",$A$1,$A$2)</f>
        <v>6.4453125</v>
      </c>
      <c r="J42" s="6">
        <v>8</v>
      </c>
      <c r="K42" s="6">
        <v>4000000</v>
      </c>
      <c r="L42" s="7"/>
      <c r="M42" s="7"/>
      <c r="N42" s="7"/>
    </row>
    <row r="43" spans="1:14" s="4" customFormat="1" ht="13.2" x14ac:dyDescent="0.25">
      <c r="A43" s="7" t="s">
        <v>161</v>
      </c>
      <c r="B43" s="7" t="s">
        <v>162</v>
      </c>
      <c r="C43" s="7" t="s">
        <v>159</v>
      </c>
      <c r="D43" s="6"/>
      <c r="E43" s="7" t="s">
        <v>163</v>
      </c>
      <c r="F43" s="7" t="s">
        <v>162</v>
      </c>
      <c r="G43" s="6"/>
      <c r="H43" s="6" t="str">
        <f>_xll.BDP($A43,"IPO_OFFER_PX_TO_LAST_CLOSE_%_CHG",$A$1,$A$2)</f>
        <v>#N/A N/A</v>
      </c>
      <c r="I43" s="6">
        <f>_xll.BDP($A43,"IPO_OFFER_PX_TO_1ST_OPEN_%_CHG",$A$1,$A$2)</f>
        <v>5.859375</v>
      </c>
      <c r="J43" s="6">
        <v>8</v>
      </c>
      <c r="K43" s="6">
        <v>4300000</v>
      </c>
      <c r="L43" s="7"/>
      <c r="M43" s="7"/>
      <c r="N43" s="7"/>
    </row>
    <row r="44" spans="1:14" s="4" customFormat="1" ht="13.2" x14ac:dyDescent="0.25">
      <c r="A44" s="7" t="s">
        <v>164</v>
      </c>
      <c r="B44" s="7" t="s">
        <v>165</v>
      </c>
      <c r="C44" s="7" t="s">
        <v>166</v>
      </c>
      <c r="D44" s="6"/>
      <c r="E44" s="7" t="s">
        <v>167</v>
      </c>
      <c r="F44" s="7" t="s">
        <v>165</v>
      </c>
      <c r="G44" s="6"/>
      <c r="H44" s="6" t="str">
        <f>_xll.BDP($A44,"IPO_OFFER_PX_TO_LAST_CLOSE_%_CHG",$A$1,$A$2)</f>
        <v>#N/A N/A</v>
      </c>
      <c r="I44" s="6">
        <f>_xll.BDP($A44,"IPO_OFFER_PX_TO_1ST_OPEN_%_CHG",$A$1,$A$2)</f>
        <v>3.030303</v>
      </c>
      <c r="J44" s="6">
        <v>16.5</v>
      </c>
      <c r="K44" s="6">
        <v>10000000</v>
      </c>
      <c r="L44" s="7"/>
      <c r="M44" s="7"/>
      <c r="N44" s="7"/>
    </row>
    <row r="45" spans="1:14" s="4" customFormat="1" ht="13.2" x14ac:dyDescent="0.25">
      <c r="A45" s="7" t="s">
        <v>168</v>
      </c>
      <c r="B45" s="7" t="s">
        <v>169</v>
      </c>
      <c r="C45" s="7" t="s">
        <v>166</v>
      </c>
      <c r="D45" s="6"/>
      <c r="E45" s="7" t="s">
        <v>170</v>
      </c>
      <c r="F45" s="7" t="s">
        <v>169</v>
      </c>
      <c r="G45" s="6"/>
      <c r="H45" s="6" t="str">
        <f>_xll.BDP($A45,"IPO_OFFER_PX_TO_LAST_CLOSE_%_CHG",$A$1,$A$2)</f>
        <v>#N/A N/A</v>
      </c>
      <c r="I45" s="6">
        <f>_xll.BDP($A45,"IPO_OFFER_PX_TO_1ST_OPEN_%_CHG",$A$1,$A$2)</f>
        <v>-6.25</v>
      </c>
      <c r="J45" s="6">
        <v>8</v>
      </c>
      <c r="K45" s="6">
        <v>1250000</v>
      </c>
      <c r="L45" s="7"/>
      <c r="M45" s="7"/>
      <c r="N45" s="7"/>
    </row>
    <row r="46" spans="1:14" s="4" customFormat="1" ht="13.2" x14ac:dyDescent="0.25">
      <c r="A46" s="7" t="s">
        <v>171</v>
      </c>
      <c r="B46" s="7" t="s">
        <v>172</v>
      </c>
      <c r="C46" s="7" t="s">
        <v>166</v>
      </c>
      <c r="D46" s="6"/>
      <c r="E46" s="7" t="s">
        <v>173</v>
      </c>
      <c r="F46" s="7" t="s">
        <v>172</v>
      </c>
      <c r="G46" s="6"/>
      <c r="H46" s="6" t="str">
        <f>_xll.BDP($A46,"IPO_OFFER_PX_TO_LAST_CLOSE_%_CHG",$A$1,$A$2)</f>
        <v>#N/A N/A</v>
      </c>
      <c r="I46" s="6">
        <f>_xll.BDP($A46,"IPO_OFFER_PX_TO_1ST_OPEN_%_CHG",$A$1,$A$2)</f>
        <v>19</v>
      </c>
      <c r="J46" s="6">
        <v>12.5</v>
      </c>
      <c r="K46" s="6">
        <v>5600000</v>
      </c>
      <c r="L46" s="7"/>
      <c r="M46" s="7"/>
      <c r="N46" s="7"/>
    </row>
    <row r="47" spans="1:14" s="4" customFormat="1" ht="13.2" x14ac:dyDescent="0.25">
      <c r="A47" s="7" t="s">
        <v>174</v>
      </c>
      <c r="B47" s="7" t="s">
        <v>175</v>
      </c>
      <c r="C47" s="7" t="s">
        <v>166</v>
      </c>
      <c r="D47" s="6"/>
      <c r="E47" s="7" t="s">
        <v>176</v>
      </c>
      <c r="F47" s="7" t="s">
        <v>175</v>
      </c>
      <c r="G47" s="6"/>
      <c r="H47" s="6" t="str">
        <f>_xll.BDP($A47,"IPO_OFFER_PX_TO_LAST_CLOSE_%_CHG",$A$1,$A$2)</f>
        <v>#N/A N/A</v>
      </c>
      <c r="I47" s="6">
        <f>_xll.BDP($A47,"IPO_OFFER_PX_TO_1ST_OPEN_%_CHG",$A$1,$A$2)</f>
        <v>0.2083333</v>
      </c>
      <c r="J47" s="6">
        <v>15</v>
      </c>
      <c r="K47" s="6">
        <v>5000000</v>
      </c>
      <c r="L47" s="7"/>
      <c r="M47" s="7"/>
      <c r="N47" s="7"/>
    </row>
    <row r="48" spans="1:14" s="4" customFormat="1" ht="13.2" x14ac:dyDescent="0.25">
      <c r="A48" s="7" t="s">
        <v>177</v>
      </c>
      <c r="B48" s="7" t="s">
        <v>178</v>
      </c>
      <c r="C48" s="7" t="s">
        <v>179</v>
      </c>
      <c r="D48" s="6"/>
      <c r="E48" s="7" t="s">
        <v>180</v>
      </c>
      <c r="F48" s="7" t="s">
        <v>178</v>
      </c>
      <c r="G48" s="6"/>
      <c r="H48" s="6" t="str">
        <f>_xll.BDP($A48,"IPO_OFFER_PX_TO_LAST_CLOSE_%_CHG",$A$1,$A$2)</f>
        <v>#N/A N/A</v>
      </c>
      <c r="I48" s="6" t="str">
        <f>_xll.BDP($A48,"IPO_OFFER_PX_TO_1ST_OPEN_%_CHG",$A$1,$A$2)</f>
        <v>#N/A N/A</v>
      </c>
      <c r="J48" s="6"/>
      <c r="K48" s="6"/>
      <c r="L48" s="7" t="s">
        <v>181</v>
      </c>
      <c r="M48" s="7" t="s">
        <v>182</v>
      </c>
      <c r="N48" s="7" t="s">
        <v>183</v>
      </c>
    </row>
    <row r="49" spans="1:14" s="4" customFormat="1" ht="13.2" x14ac:dyDescent="0.25">
      <c r="A49" s="7" t="s">
        <v>184</v>
      </c>
      <c r="B49" s="7" t="s">
        <v>185</v>
      </c>
      <c r="C49" s="7" t="s">
        <v>186</v>
      </c>
      <c r="D49" s="6">
        <v>141.12</v>
      </c>
      <c r="E49" s="7" t="s">
        <v>187</v>
      </c>
      <c r="F49" s="7" t="s">
        <v>185</v>
      </c>
      <c r="G49" s="6">
        <v>28512550039.68</v>
      </c>
      <c r="H49" s="6">
        <f>_xll.BDP($A49,"IPO_OFFER_PX_TO_LAST_CLOSE_%_CHG",$A$1,$A$2)</f>
        <v>6956</v>
      </c>
      <c r="I49" s="6">
        <f>_xll.BDP($A49,"IPO_OFFER_PX_TO_1ST_OPEN_%_CHG",$A$1,$A$2)</f>
        <v>25</v>
      </c>
      <c r="J49" s="6">
        <v>16</v>
      </c>
      <c r="K49" s="6">
        <v>7380000</v>
      </c>
      <c r="L49" s="7" t="s">
        <v>188</v>
      </c>
      <c r="M49" s="7" t="s">
        <v>189</v>
      </c>
      <c r="N49" s="7" t="s">
        <v>190</v>
      </c>
    </row>
    <row r="50" spans="1:14" s="4" customFormat="1" ht="13.2" x14ac:dyDescent="0.25">
      <c r="A50" s="7" t="s">
        <v>191</v>
      </c>
      <c r="B50" s="7" t="s">
        <v>192</v>
      </c>
      <c r="C50" s="7" t="s">
        <v>186</v>
      </c>
      <c r="D50" s="6"/>
      <c r="E50" s="7" t="s">
        <v>193</v>
      </c>
      <c r="F50" s="7" t="s">
        <v>192</v>
      </c>
      <c r="G50" s="6"/>
      <c r="H50" s="6" t="str">
        <f>_xll.BDP($A50,"IPO_OFFER_PX_TO_LAST_CLOSE_%_CHG",$A$1,$A$2)</f>
        <v>#N/A N/A</v>
      </c>
      <c r="I50" s="6">
        <f>_xll.BDP($A50,"IPO_OFFER_PX_TO_1ST_OPEN_%_CHG",$A$1,$A$2)</f>
        <v>35.714289999999998</v>
      </c>
      <c r="J50" s="6">
        <v>21</v>
      </c>
      <c r="K50" s="6">
        <v>24000000</v>
      </c>
      <c r="L50" s="7"/>
      <c r="M50" s="7"/>
      <c r="N50" s="7"/>
    </row>
    <row r="51" spans="1:14" s="4" customFormat="1" ht="13.2" x14ac:dyDescent="0.25">
      <c r="A51" s="7" t="s">
        <v>194</v>
      </c>
      <c r="B51" s="7" t="s">
        <v>195</v>
      </c>
      <c r="C51" s="7" t="s">
        <v>196</v>
      </c>
      <c r="D51" s="6"/>
      <c r="E51" s="7" t="s">
        <v>197</v>
      </c>
      <c r="F51" s="7" t="s">
        <v>195</v>
      </c>
      <c r="G51" s="6"/>
      <c r="H51" s="6" t="str">
        <f>_xll.BDP($A51,"IPO_OFFER_PX_TO_LAST_CLOSE_%_CHG",$A$1,$A$2)</f>
        <v>#N/A N/A</v>
      </c>
      <c r="I51" s="6">
        <f>_xll.BDP($A51,"IPO_OFFER_PX_TO_1ST_OPEN_%_CHG",$A$1,$A$2)</f>
        <v>0</v>
      </c>
      <c r="J51" s="6">
        <v>14</v>
      </c>
      <c r="K51" s="6">
        <v>5000000</v>
      </c>
      <c r="L51" s="7"/>
      <c r="M51" s="7"/>
      <c r="N51" s="7"/>
    </row>
    <row r="52" spans="1:14" s="4" customFormat="1" ht="13.2" x14ac:dyDescent="0.25">
      <c r="A52" s="7" t="s">
        <v>198</v>
      </c>
      <c r="B52" s="7" t="s">
        <v>199</v>
      </c>
      <c r="C52" s="7" t="s">
        <v>196</v>
      </c>
      <c r="D52" s="6"/>
      <c r="E52" s="7" t="s">
        <v>200</v>
      </c>
      <c r="F52" s="7" t="s">
        <v>199</v>
      </c>
      <c r="G52" s="6"/>
      <c r="H52" s="6" t="str">
        <f>_xll.BDP($A52,"IPO_OFFER_PX_TO_LAST_CLOSE_%_CHG",$A$1,$A$2)</f>
        <v>#N/A N/A</v>
      </c>
      <c r="I52" s="6">
        <f>_xll.BDP($A52,"IPO_OFFER_PX_TO_1ST_OPEN_%_CHG",$A$1,$A$2)</f>
        <v>35</v>
      </c>
      <c r="J52" s="6">
        <v>15</v>
      </c>
      <c r="K52" s="6">
        <v>6250000</v>
      </c>
      <c r="L52" s="7"/>
      <c r="M52" s="7"/>
      <c r="N52" s="7"/>
    </row>
    <row r="53" spans="1:14" s="4" customFormat="1" ht="13.2" x14ac:dyDescent="0.25">
      <c r="A53" s="7" t="s">
        <v>201</v>
      </c>
      <c r="B53" s="7" t="s">
        <v>202</v>
      </c>
      <c r="C53" s="7" t="s">
        <v>196</v>
      </c>
      <c r="D53" s="6"/>
      <c r="E53" s="7" t="s">
        <v>203</v>
      </c>
      <c r="F53" s="7" t="s">
        <v>202</v>
      </c>
      <c r="G53" s="6"/>
      <c r="H53" s="6" t="str">
        <f>_xll.BDP($A53,"IPO_OFFER_PX_TO_LAST_CLOSE_%_CHG",$A$1,$A$2)</f>
        <v>#N/A N/A</v>
      </c>
      <c r="I53" s="6">
        <f>_xll.BDP($A53,"IPO_OFFER_PX_TO_1ST_OPEN_%_CHG",$A$1,$A$2)</f>
        <v>61.111109999999996</v>
      </c>
      <c r="J53" s="6">
        <v>18</v>
      </c>
      <c r="K53" s="6">
        <v>13700000</v>
      </c>
      <c r="L53" s="7"/>
      <c r="M53" s="7"/>
      <c r="N53" s="7"/>
    </row>
    <row r="54" spans="1:14" s="4" customFormat="1" ht="13.2" x14ac:dyDescent="0.25">
      <c r="A54" s="7" t="s">
        <v>204</v>
      </c>
      <c r="B54" s="7" t="s">
        <v>205</v>
      </c>
      <c r="C54" s="7" t="s">
        <v>206</v>
      </c>
      <c r="D54" s="6"/>
      <c r="E54" s="7" t="s">
        <v>207</v>
      </c>
      <c r="F54" s="7" t="s">
        <v>205</v>
      </c>
      <c r="G54" s="6"/>
      <c r="H54" s="6" t="str">
        <f>_xll.BDP($A54,"IPO_OFFER_PX_TO_LAST_CLOSE_%_CHG",$A$1,$A$2)</f>
        <v>#N/A N/A</v>
      </c>
      <c r="I54" s="6">
        <f>_xll.BDP($A54,"IPO_OFFER_PX_TO_1ST_OPEN_%_CHG",$A$1,$A$2)</f>
        <v>10</v>
      </c>
      <c r="J54" s="6">
        <v>19</v>
      </c>
      <c r="K54" s="6">
        <v>3700000</v>
      </c>
      <c r="L54" s="7"/>
      <c r="M54" s="7"/>
      <c r="N54" s="7"/>
    </row>
    <row r="55" spans="1:14" s="4" customFormat="1" ht="13.2" x14ac:dyDescent="0.25">
      <c r="A55" s="7" t="s">
        <v>208</v>
      </c>
      <c r="B55" s="7" t="s">
        <v>209</v>
      </c>
      <c r="C55" s="7" t="s">
        <v>206</v>
      </c>
      <c r="D55" s="6"/>
      <c r="E55" s="7" t="s">
        <v>210</v>
      </c>
      <c r="F55" s="7" t="s">
        <v>209</v>
      </c>
      <c r="G55" s="6"/>
      <c r="H55" s="6" t="str">
        <f>_xll.BDP($A55,"IPO_OFFER_PX_TO_LAST_CLOSE_%_CHG",$A$1,$A$2)</f>
        <v>#N/A N/A</v>
      </c>
      <c r="I55" s="6">
        <f>_xll.BDP($A55,"IPO_OFFER_PX_TO_1ST_OPEN_%_CHG",$A$1,$A$2)</f>
        <v>38.28125</v>
      </c>
      <c r="J55" s="6">
        <v>16</v>
      </c>
      <c r="K55" s="6">
        <v>5000000</v>
      </c>
      <c r="L55" s="7"/>
      <c r="M55" s="7"/>
      <c r="N55" s="7"/>
    </row>
    <row r="56" spans="1:14" s="4" customFormat="1" ht="13.2" x14ac:dyDescent="0.25">
      <c r="A56" s="7" t="s">
        <v>211</v>
      </c>
      <c r="B56" s="7" t="s">
        <v>212</v>
      </c>
      <c r="C56" s="7" t="s">
        <v>213</v>
      </c>
      <c r="D56" s="6"/>
      <c r="E56" s="7" t="s">
        <v>214</v>
      </c>
      <c r="F56" s="7" t="s">
        <v>212</v>
      </c>
      <c r="G56" s="6"/>
      <c r="H56" s="6" t="str">
        <f>_xll.BDP($A56,"IPO_OFFER_PX_TO_LAST_CLOSE_%_CHG",$A$1,$A$2)</f>
        <v>#N/A N/A</v>
      </c>
      <c r="I56" s="6">
        <f>_xll.BDP($A56,"IPO_OFFER_PX_TO_1ST_OPEN_%_CHG",$A$1,$A$2)</f>
        <v>0.28409089999999998</v>
      </c>
      <c r="J56" s="6">
        <v>11</v>
      </c>
      <c r="K56" s="6">
        <v>6364000</v>
      </c>
      <c r="L56" s="7"/>
      <c r="M56" s="7"/>
      <c r="N56" s="7"/>
    </row>
    <row r="57" spans="1:14" s="4" customFormat="1" ht="13.2" x14ac:dyDescent="0.25">
      <c r="A57" s="7" t="s">
        <v>215</v>
      </c>
      <c r="B57" s="7" t="s">
        <v>216</v>
      </c>
      <c r="C57" s="7" t="s">
        <v>213</v>
      </c>
      <c r="D57" s="6"/>
      <c r="E57" s="7" t="s">
        <v>217</v>
      </c>
      <c r="F57" s="7" t="s">
        <v>216</v>
      </c>
      <c r="G57" s="6"/>
      <c r="H57" s="6" t="str">
        <f>_xll.BDP($A57,"IPO_OFFER_PX_TO_LAST_CLOSE_%_CHG",$A$1,$A$2)</f>
        <v>#N/A N/A</v>
      </c>
      <c r="I57" s="6">
        <f>_xll.BDP($A57,"IPO_OFFER_PX_TO_1ST_OPEN_%_CHG",$A$1,$A$2)</f>
        <v>0</v>
      </c>
      <c r="J57" s="6">
        <v>9</v>
      </c>
      <c r="K57" s="6">
        <v>7000000</v>
      </c>
      <c r="L57" s="7"/>
      <c r="M57" s="7"/>
      <c r="N57" s="7"/>
    </row>
    <row r="58" spans="1:14" s="4" customFormat="1" ht="13.2" x14ac:dyDescent="0.25">
      <c r="A58" s="7" t="s">
        <v>218</v>
      </c>
      <c r="B58" s="7" t="s">
        <v>219</v>
      </c>
      <c r="C58" s="7" t="s">
        <v>213</v>
      </c>
      <c r="D58" s="6"/>
      <c r="E58" s="7" t="s">
        <v>220</v>
      </c>
      <c r="F58" s="7" t="s">
        <v>219</v>
      </c>
      <c r="G58" s="6"/>
      <c r="H58" s="6" t="str">
        <f>_xll.BDP($A58,"IPO_OFFER_PX_TO_LAST_CLOSE_%_CHG",$A$1,$A$2)</f>
        <v>#N/A N/A</v>
      </c>
      <c r="I58" s="6">
        <f>_xll.BDP($A58,"IPO_OFFER_PX_TO_1ST_OPEN_%_CHG",$A$1,$A$2)</f>
        <v>100.390625</v>
      </c>
      <c r="J58" s="6">
        <v>16</v>
      </c>
      <c r="K58" s="6">
        <v>5500000</v>
      </c>
      <c r="L58" s="7"/>
      <c r="M58" s="7"/>
      <c r="N58" s="7"/>
    </row>
    <row r="59" spans="1:14" s="4" customFormat="1" ht="13.2" x14ac:dyDescent="0.25">
      <c r="A59" s="7" t="s">
        <v>221</v>
      </c>
      <c r="B59" s="7" t="s">
        <v>222</v>
      </c>
      <c r="C59" s="7" t="s">
        <v>213</v>
      </c>
      <c r="D59" s="6"/>
      <c r="E59" s="7" t="s">
        <v>223</v>
      </c>
      <c r="F59" s="7" t="s">
        <v>222</v>
      </c>
      <c r="G59" s="6"/>
      <c r="H59" s="6" t="str">
        <f>_xll.BDP($A59,"IPO_OFFER_PX_TO_LAST_CLOSE_%_CHG",$A$1,$A$2)</f>
        <v>#N/A N/A</v>
      </c>
      <c r="I59" s="6">
        <f>_xll.BDP($A59,"IPO_OFFER_PX_TO_1ST_OPEN_%_CHG",$A$1,$A$2)</f>
        <v>18.181819999999998</v>
      </c>
      <c r="J59" s="6">
        <v>11</v>
      </c>
      <c r="K59" s="6">
        <v>8000000</v>
      </c>
      <c r="L59" s="7"/>
      <c r="M59" s="7"/>
      <c r="N59" s="7"/>
    </row>
    <row r="60" spans="1:14" s="4" customFormat="1" ht="13.2" x14ac:dyDescent="0.25">
      <c r="A60" s="7" t="s">
        <v>224</v>
      </c>
      <c r="B60" s="7" t="s">
        <v>225</v>
      </c>
      <c r="C60" s="7" t="s">
        <v>213</v>
      </c>
      <c r="D60" s="6"/>
      <c r="E60" s="7" t="s">
        <v>226</v>
      </c>
      <c r="F60" s="7" t="s">
        <v>225</v>
      </c>
      <c r="G60" s="6"/>
      <c r="H60" s="6" t="str">
        <f>_xll.BDP($A60,"IPO_OFFER_PX_TO_LAST_CLOSE_%_CHG",$A$1,$A$2)</f>
        <v>#N/A N/A</v>
      </c>
      <c r="I60" s="6">
        <f>_xll.BDP($A60,"IPO_OFFER_PX_TO_1ST_OPEN_%_CHG",$A$1,$A$2)</f>
        <v>79.411770000000004</v>
      </c>
      <c r="J60" s="6">
        <v>17</v>
      </c>
      <c r="K60" s="6">
        <v>7000000</v>
      </c>
      <c r="L60" s="7"/>
      <c r="M60" s="7"/>
      <c r="N60" s="7"/>
    </row>
    <row r="61" spans="1:14" s="4" customFormat="1" ht="13.2" x14ac:dyDescent="0.25">
      <c r="A61" s="7" t="s">
        <v>227</v>
      </c>
      <c r="B61" s="7" t="s">
        <v>228</v>
      </c>
      <c r="C61" s="7" t="s">
        <v>213</v>
      </c>
      <c r="D61" s="6"/>
      <c r="E61" s="7" t="s">
        <v>229</v>
      </c>
      <c r="F61" s="7" t="s">
        <v>228</v>
      </c>
      <c r="G61" s="6"/>
      <c r="H61" s="6" t="str">
        <f>_xll.BDP($A61,"IPO_OFFER_PX_TO_LAST_CLOSE_%_CHG",$A$1,$A$2)</f>
        <v>#N/A N/A</v>
      </c>
      <c r="I61" s="6">
        <f>_xll.BDP($A61,"IPO_OFFER_PX_TO_1ST_OPEN_%_CHG",$A$1,$A$2)</f>
        <v>21.052630000000001</v>
      </c>
      <c r="J61" s="6">
        <v>19</v>
      </c>
      <c r="K61" s="6">
        <v>6440000</v>
      </c>
      <c r="L61" s="7"/>
      <c r="M61" s="7"/>
      <c r="N61" s="7"/>
    </row>
    <row r="62" spans="1:14" s="4" customFormat="1" ht="13.2" x14ac:dyDescent="0.25">
      <c r="A62" s="7" t="s">
        <v>230</v>
      </c>
      <c r="B62" s="7" t="s">
        <v>231</v>
      </c>
      <c r="C62" s="7" t="s">
        <v>213</v>
      </c>
      <c r="D62" s="6">
        <v>96.09</v>
      </c>
      <c r="E62" s="7" t="s">
        <v>232</v>
      </c>
      <c r="F62" s="7" t="s">
        <v>231</v>
      </c>
      <c r="G62" s="6">
        <v>3262720479.5100002</v>
      </c>
      <c r="H62" s="6">
        <f>_xll.BDP($A62,"IPO_OFFER_PX_TO_LAST_CLOSE_%_CHG",$A$1,$A$2)</f>
        <v>557.97190000000001</v>
      </c>
      <c r="I62" s="6">
        <f>_xll.BDP($A62,"IPO_OFFER_PX_TO_1ST_OPEN_%_CHG",$A$1,$A$2)</f>
        <v>25</v>
      </c>
      <c r="J62" s="6">
        <v>16</v>
      </c>
      <c r="K62" s="6">
        <v>5000000</v>
      </c>
      <c r="L62" s="7" t="s">
        <v>52</v>
      </c>
      <c r="M62" s="7" t="s">
        <v>233</v>
      </c>
      <c r="N62" s="7" t="s">
        <v>234</v>
      </c>
    </row>
    <row r="63" spans="1:14" s="4" customFormat="1" ht="13.2" x14ac:dyDescent="0.25">
      <c r="A63" s="7" t="s">
        <v>235</v>
      </c>
      <c r="B63" s="7" t="s">
        <v>236</v>
      </c>
      <c r="C63" s="7" t="s">
        <v>237</v>
      </c>
      <c r="D63" s="6"/>
      <c r="E63" s="7" t="s">
        <v>238</v>
      </c>
      <c r="F63" s="7" t="s">
        <v>236</v>
      </c>
      <c r="G63" s="6"/>
      <c r="H63" s="6" t="str">
        <f>_xll.BDP($A63,"IPO_OFFER_PX_TO_LAST_CLOSE_%_CHG",$A$1,$A$2)</f>
        <v>#N/A N/A</v>
      </c>
      <c r="I63" s="6">
        <f>_xll.BDP($A63,"IPO_OFFER_PX_TO_1ST_OPEN_%_CHG",$A$1,$A$2)</f>
        <v>8.1730769999999993</v>
      </c>
      <c r="J63" s="6">
        <v>13</v>
      </c>
      <c r="K63" s="6">
        <v>7800000</v>
      </c>
      <c r="L63" s="7"/>
      <c r="M63" s="7"/>
      <c r="N63" s="7"/>
    </row>
    <row r="64" spans="1:14" s="4" customFormat="1" ht="13.2" x14ac:dyDescent="0.25">
      <c r="A64" s="7" t="s">
        <v>239</v>
      </c>
      <c r="B64" s="7" t="s">
        <v>240</v>
      </c>
      <c r="C64" s="7" t="s">
        <v>237</v>
      </c>
      <c r="D64" s="6"/>
      <c r="E64" s="7" t="s">
        <v>241</v>
      </c>
      <c r="F64" s="7" t="s">
        <v>240</v>
      </c>
      <c r="G64" s="6"/>
      <c r="H64" s="6" t="str">
        <f>_xll.BDP($A64,"IPO_OFFER_PX_TO_LAST_CLOSE_%_CHG",$A$1,$A$2)</f>
        <v>#N/A N/A</v>
      </c>
      <c r="I64" s="6">
        <f>_xll.BDP($A64,"IPO_OFFER_PX_TO_1ST_OPEN_%_CHG",$A$1,$A$2)</f>
        <v>39.583329999999997</v>
      </c>
      <c r="J64" s="6">
        <v>12</v>
      </c>
      <c r="K64" s="6">
        <v>7000000</v>
      </c>
      <c r="L64" s="7"/>
      <c r="M64" s="7"/>
      <c r="N64" s="7"/>
    </row>
    <row r="65" spans="1:14" s="4" customFormat="1" ht="13.2" x14ac:dyDescent="0.25">
      <c r="A65" s="7" t="s">
        <v>242</v>
      </c>
      <c r="B65" s="7" t="s">
        <v>243</v>
      </c>
      <c r="C65" s="7" t="s">
        <v>237</v>
      </c>
      <c r="D65" s="6"/>
      <c r="E65" s="7" t="s">
        <v>244</v>
      </c>
      <c r="F65" s="7" t="s">
        <v>243</v>
      </c>
      <c r="G65" s="6"/>
      <c r="H65" s="6" t="str">
        <f>_xll.BDP($A65,"IPO_OFFER_PX_TO_LAST_CLOSE_%_CHG",$A$1,$A$2)</f>
        <v>#N/A N/A</v>
      </c>
      <c r="I65" s="6" t="str">
        <f>_xll.BDP($A65,"IPO_OFFER_PX_TO_1ST_OPEN_%_CHG",$A$1,$A$2)</f>
        <v>#N/A N/A</v>
      </c>
      <c r="J65" s="6">
        <v>14</v>
      </c>
      <c r="K65" s="6">
        <v>5000000</v>
      </c>
      <c r="L65" s="7"/>
      <c r="M65" s="7"/>
      <c r="N65" s="7"/>
    </row>
    <row r="66" spans="1:14" s="4" customFormat="1" ht="13.2" x14ac:dyDescent="0.25">
      <c r="A66" s="7" t="s">
        <v>245</v>
      </c>
      <c r="B66" s="7" t="s">
        <v>246</v>
      </c>
      <c r="C66" s="7" t="s">
        <v>247</v>
      </c>
      <c r="D66" s="6"/>
      <c r="E66" s="7" t="s">
        <v>248</v>
      </c>
      <c r="F66" s="7" t="s">
        <v>246</v>
      </c>
      <c r="G66" s="6"/>
      <c r="H66" s="6" t="str">
        <f>_xll.BDP($A66,"IPO_OFFER_PX_TO_LAST_CLOSE_%_CHG",$A$1,$A$2)</f>
        <v>#N/A N/A</v>
      </c>
      <c r="I66" s="6">
        <f>_xll.BDP($A66,"IPO_OFFER_PX_TO_1ST_OPEN_%_CHG",$A$1,$A$2)</f>
        <v>87.5</v>
      </c>
      <c r="J66" s="6">
        <v>12</v>
      </c>
      <c r="K66" s="6">
        <v>5500000</v>
      </c>
      <c r="L66" s="7"/>
      <c r="M66" s="7"/>
      <c r="N66" s="7"/>
    </row>
    <row r="67" spans="1:14" s="4" customFormat="1" ht="13.2" x14ac:dyDescent="0.25">
      <c r="A67" s="7" t="s">
        <v>249</v>
      </c>
      <c r="B67" s="7" t="s">
        <v>250</v>
      </c>
      <c r="C67" s="7" t="s">
        <v>247</v>
      </c>
      <c r="D67" s="6"/>
      <c r="E67" s="7" t="s">
        <v>251</v>
      </c>
      <c r="F67" s="7" t="s">
        <v>250</v>
      </c>
      <c r="G67" s="6"/>
      <c r="H67" s="6" t="str">
        <f>_xll.BDP($A67,"IPO_OFFER_PX_TO_LAST_CLOSE_%_CHG",$A$1,$A$2)</f>
        <v>#N/A N/A</v>
      </c>
      <c r="I67" s="6">
        <f>_xll.BDP($A67,"IPO_OFFER_PX_TO_1ST_OPEN_%_CHG",$A$1,$A$2)</f>
        <v>28.409089999999999</v>
      </c>
      <c r="J67" s="6">
        <v>22</v>
      </c>
      <c r="K67" s="6">
        <v>58000000</v>
      </c>
      <c r="L67" s="7"/>
      <c r="M67" s="7"/>
      <c r="N67" s="7"/>
    </row>
    <row r="68" spans="1:14" s="4" customFormat="1" ht="13.2" x14ac:dyDescent="0.25">
      <c r="A68" s="7" t="s">
        <v>252</v>
      </c>
      <c r="B68" s="7" t="s">
        <v>253</v>
      </c>
      <c r="C68" s="7" t="s">
        <v>247</v>
      </c>
      <c r="D68" s="6"/>
      <c r="E68" s="7" t="s">
        <v>254</v>
      </c>
      <c r="F68" s="7" t="s">
        <v>253</v>
      </c>
      <c r="G68" s="6"/>
      <c r="H68" s="6" t="str">
        <f>_xll.BDP($A68,"IPO_OFFER_PX_TO_LAST_CLOSE_%_CHG",$A$1,$A$2)</f>
        <v>#N/A N/A</v>
      </c>
      <c r="I68" s="6">
        <f>_xll.BDP($A68,"IPO_OFFER_PX_TO_1ST_OPEN_%_CHG",$A$1,$A$2)</f>
        <v>19.196429999999999</v>
      </c>
      <c r="J68" s="6">
        <v>14</v>
      </c>
      <c r="K68" s="6">
        <v>6000000</v>
      </c>
      <c r="L68" s="7"/>
      <c r="M68" s="7"/>
      <c r="N68" s="7"/>
    </row>
    <row r="69" spans="1:14" s="4" customFormat="1" ht="13.2" x14ac:dyDescent="0.25">
      <c r="A69" s="7" t="s">
        <v>255</v>
      </c>
      <c r="B69" s="7" t="s">
        <v>256</v>
      </c>
      <c r="C69" s="7" t="s">
        <v>247</v>
      </c>
      <c r="D69" s="6"/>
      <c r="E69" s="7" t="s">
        <v>257</v>
      </c>
      <c r="F69" s="7" t="s">
        <v>256</v>
      </c>
      <c r="G69" s="6"/>
      <c r="H69" s="6" t="str">
        <f>_xll.BDP($A69,"IPO_OFFER_PX_TO_LAST_CLOSE_%_CHG",$A$1,$A$2)</f>
        <v>#N/A N/A</v>
      </c>
      <c r="I69" s="6">
        <f>_xll.BDP($A69,"IPO_OFFER_PX_TO_1ST_OPEN_%_CHG",$A$1,$A$2)</f>
        <v>60.625</v>
      </c>
      <c r="J69" s="6">
        <v>15</v>
      </c>
      <c r="K69" s="6">
        <v>5800000</v>
      </c>
      <c r="L69" s="7"/>
      <c r="M69" s="7"/>
      <c r="N69" s="7"/>
    </row>
    <row r="70" spans="1:14" s="4" customFormat="1" ht="13.2" x14ac:dyDescent="0.25">
      <c r="A70" s="7" t="s">
        <v>258</v>
      </c>
      <c r="B70" s="7" t="s">
        <v>259</v>
      </c>
      <c r="C70" s="7" t="s">
        <v>260</v>
      </c>
      <c r="D70" s="6"/>
      <c r="E70" s="7" t="s">
        <v>261</v>
      </c>
      <c r="F70" s="7" t="s">
        <v>259</v>
      </c>
      <c r="G70" s="6"/>
      <c r="H70" s="6" t="str">
        <f>_xll.BDP($A70,"IPO_OFFER_PX_TO_LAST_CLOSE_%_CHG",$A$1,$A$2)</f>
        <v>#N/A N/A</v>
      </c>
      <c r="I70" s="6">
        <f>_xll.BDP($A70,"IPO_OFFER_PX_TO_1ST_OPEN_%_CHG",$A$1,$A$2)</f>
        <v>11.764709999999999</v>
      </c>
      <c r="J70" s="6">
        <v>17</v>
      </c>
      <c r="K70" s="6">
        <v>7500000</v>
      </c>
      <c r="L70" s="7"/>
      <c r="M70" s="7"/>
      <c r="N70" s="7"/>
    </row>
    <row r="71" spans="1:14" s="4" customFormat="1" ht="13.2" x14ac:dyDescent="0.25">
      <c r="A71" s="7" t="s">
        <v>262</v>
      </c>
      <c r="B71" s="7" t="s">
        <v>263</v>
      </c>
      <c r="C71" s="7" t="s">
        <v>264</v>
      </c>
      <c r="D71" s="6"/>
      <c r="E71" s="7" t="s">
        <v>265</v>
      </c>
      <c r="F71" s="7" t="s">
        <v>263</v>
      </c>
      <c r="G71" s="6"/>
      <c r="H71" s="6" t="str">
        <f>_xll.BDP($A71,"IPO_OFFER_PX_TO_LAST_CLOSE_%_CHG",$A$1,$A$2)</f>
        <v>#N/A N/A</v>
      </c>
      <c r="I71" s="6">
        <f>_xll.BDP($A71,"IPO_OFFER_PX_TO_1ST_OPEN_%_CHG",$A$1,$A$2)</f>
        <v>191.30439999999999</v>
      </c>
      <c r="J71" s="6">
        <v>23</v>
      </c>
      <c r="K71" s="6">
        <v>10000000</v>
      </c>
      <c r="L71" s="7"/>
      <c r="M71" s="7"/>
      <c r="N71" s="7"/>
    </row>
    <row r="72" spans="1:14" s="4" customFormat="1" ht="13.2" x14ac:dyDescent="0.25">
      <c r="A72" s="7" t="s">
        <v>266</v>
      </c>
      <c r="B72" s="7" t="s">
        <v>267</v>
      </c>
      <c r="C72" s="7" t="s">
        <v>268</v>
      </c>
      <c r="D72" s="6"/>
      <c r="E72" s="7" t="s">
        <v>269</v>
      </c>
      <c r="F72" s="7" t="s">
        <v>267</v>
      </c>
      <c r="G72" s="6"/>
      <c r="H72" s="6" t="str">
        <f>_xll.BDP($A72,"IPO_OFFER_PX_TO_LAST_CLOSE_%_CHG",$A$1,$A$2)</f>
        <v>#N/A N/A</v>
      </c>
      <c r="I72" s="6" t="str">
        <f>_xll.BDP($A72,"IPO_OFFER_PX_TO_1ST_OPEN_%_CHG",$A$1,$A$2)</f>
        <v>#N/A N/A</v>
      </c>
      <c r="J72" s="6">
        <v>11</v>
      </c>
      <c r="K72" s="6">
        <v>5000000</v>
      </c>
      <c r="L72" s="7"/>
      <c r="M72" s="7"/>
      <c r="N72" s="7"/>
    </row>
    <row r="73" spans="1:14" s="4" customFormat="1" ht="13.2" x14ac:dyDescent="0.25">
      <c r="A73" s="7" t="s">
        <v>270</v>
      </c>
      <c r="B73" s="7" t="s">
        <v>271</v>
      </c>
      <c r="C73" s="7" t="s">
        <v>268</v>
      </c>
      <c r="D73" s="6"/>
      <c r="E73" s="7" t="s">
        <v>272</v>
      </c>
      <c r="F73" s="7" t="s">
        <v>271</v>
      </c>
      <c r="G73" s="6"/>
      <c r="H73" s="6" t="str">
        <f>_xll.BDP($A73,"IPO_OFFER_PX_TO_LAST_CLOSE_%_CHG",$A$1,$A$2)</f>
        <v>#N/A N/A</v>
      </c>
      <c r="I73" s="6">
        <f>_xll.BDP($A73,"IPO_OFFER_PX_TO_1ST_OPEN_%_CHG",$A$1,$A$2)</f>
        <v>125</v>
      </c>
      <c r="J73" s="6">
        <v>16</v>
      </c>
      <c r="K73" s="6">
        <v>7700000</v>
      </c>
      <c r="L73" s="7"/>
      <c r="M73" s="7"/>
      <c r="N73" s="7"/>
    </row>
    <row r="74" spans="1:14" s="4" customFormat="1" ht="13.2" x14ac:dyDescent="0.25">
      <c r="A74" s="7" t="s">
        <v>273</v>
      </c>
      <c r="B74" s="7" t="s">
        <v>274</v>
      </c>
      <c r="C74" s="7" t="s">
        <v>275</v>
      </c>
      <c r="D74" s="6"/>
      <c r="E74" s="7" t="s">
        <v>276</v>
      </c>
      <c r="F74" s="7" t="s">
        <v>274</v>
      </c>
      <c r="G74" s="6"/>
      <c r="H74" s="6" t="str">
        <f>_xll.BDP($A74,"IPO_OFFER_PX_TO_LAST_CLOSE_%_CHG",$A$1,$A$2)</f>
        <v>#N/A N/A</v>
      </c>
      <c r="I74" s="6" t="str">
        <f>_xll.BDP($A74,"IPO_OFFER_PX_TO_1ST_OPEN_%_CHG",$A$1,$A$2)</f>
        <v>#N/A N/A</v>
      </c>
      <c r="J74" s="6">
        <v>10</v>
      </c>
      <c r="K74" s="6">
        <v>281000</v>
      </c>
      <c r="L74" s="7"/>
      <c r="M74" s="7"/>
      <c r="N74" s="7"/>
    </row>
    <row r="75" spans="1:14" s="4" customFormat="1" ht="13.2" x14ac:dyDescent="0.25">
      <c r="A75" s="7" t="s">
        <v>277</v>
      </c>
      <c r="B75" s="7" t="s">
        <v>278</v>
      </c>
      <c r="C75" s="7" t="s">
        <v>275</v>
      </c>
      <c r="D75" s="6">
        <v>133.16999999999999</v>
      </c>
      <c r="E75" s="7" t="s">
        <v>279</v>
      </c>
      <c r="F75" s="7" t="s">
        <v>278</v>
      </c>
      <c r="G75" s="6">
        <v>13829712357.029999</v>
      </c>
      <c r="H75" s="6">
        <f>_xll.BDP($A75,"IPO_OFFER_PX_TO_LAST_CLOSE_%_CHG",$A$1,$A$2)</f>
        <v>732.3125</v>
      </c>
      <c r="I75" s="6">
        <f>_xll.BDP($A75,"IPO_OFFER_PX_TO_1ST_OPEN_%_CHG",$A$1,$A$2)</f>
        <v>23.4375</v>
      </c>
      <c r="J75" s="6">
        <v>16</v>
      </c>
      <c r="K75" s="6">
        <v>7500000</v>
      </c>
      <c r="L75" s="7" t="s">
        <v>280</v>
      </c>
      <c r="M75" s="7" t="s">
        <v>281</v>
      </c>
      <c r="N75" s="7" t="s">
        <v>282</v>
      </c>
    </row>
    <row r="76" spans="1:14" s="4" customFormat="1" ht="13.2" x14ac:dyDescent="0.25">
      <c r="A76" s="7" t="s">
        <v>283</v>
      </c>
      <c r="B76" s="7" t="s">
        <v>284</v>
      </c>
      <c r="C76" s="7" t="s">
        <v>275</v>
      </c>
      <c r="D76" s="6"/>
      <c r="E76" s="7" t="s">
        <v>285</v>
      </c>
      <c r="F76" s="7" t="s">
        <v>284</v>
      </c>
      <c r="G76" s="6"/>
      <c r="H76" s="6" t="str">
        <f>_xll.BDP($A76,"IPO_OFFER_PX_TO_LAST_CLOSE_%_CHG",$A$1,$A$2)</f>
        <v>#N/A N/A</v>
      </c>
      <c r="I76" s="6">
        <f>_xll.BDP($A76,"IPO_OFFER_PX_TO_1ST_OPEN_%_CHG",$A$1,$A$2)</f>
        <v>0.48076920000000001</v>
      </c>
      <c r="J76" s="6">
        <v>13</v>
      </c>
      <c r="K76" s="6">
        <v>4290000</v>
      </c>
      <c r="L76" s="7"/>
      <c r="M76" s="7"/>
      <c r="N76" s="7"/>
    </row>
    <row r="77" spans="1:14" s="4" customFormat="1" ht="13.2" x14ac:dyDescent="0.25">
      <c r="A77" s="7" t="s">
        <v>286</v>
      </c>
      <c r="B77" s="7" t="s">
        <v>287</v>
      </c>
      <c r="C77" s="7" t="s">
        <v>275</v>
      </c>
      <c r="D77" s="6"/>
      <c r="E77" s="7" t="s">
        <v>288</v>
      </c>
      <c r="F77" s="7" t="s">
        <v>287</v>
      </c>
      <c r="G77" s="6"/>
      <c r="H77" s="6" t="str">
        <f>_xll.BDP($A77,"IPO_OFFER_PX_TO_LAST_CLOSE_%_CHG",$A$1,$A$2)</f>
        <v>#N/A N/A</v>
      </c>
      <c r="I77" s="6">
        <f>_xll.BDP($A77,"IPO_OFFER_PX_TO_1ST_OPEN_%_CHG",$A$1,$A$2)</f>
        <v>42.708329999999997</v>
      </c>
      <c r="J77" s="6">
        <v>12</v>
      </c>
      <c r="K77" s="6">
        <v>9100000</v>
      </c>
      <c r="L77" s="7"/>
      <c r="M77" s="7"/>
      <c r="N77" s="7"/>
    </row>
    <row r="78" spans="1:14" s="4" customFormat="1" ht="13.2" x14ac:dyDescent="0.25">
      <c r="A78" s="7" t="s">
        <v>289</v>
      </c>
      <c r="B78" s="7" t="s">
        <v>290</v>
      </c>
      <c r="C78" s="7" t="s">
        <v>291</v>
      </c>
      <c r="D78" s="6"/>
      <c r="E78" s="7" t="s">
        <v>292</v>
      </c>
      <c r="F78" s="7" t="s">
        <v>290</v>
      </c>
      <c r="G78" s="6"/>
      <c r="H78" s="6" t="str">
        <f>_xll.BDP($A78,"IPO_OFFER_PX_TO_LAST_CLOSE_%_CHG",$A$1,$A$2)</f>
        <v>#N/A N/A</v>
      </c>
      <c r="I78" s="6" t="str">
        <f>_xll.BDP($A78,"IPO_OFFER_PX_TO_1ST_OPEN_%_CHG",$A$1,$A$2)</f>
        <v>#N/A N/A</v>
      </c>
      <c r="J78" s="6">
        <v>19</v>
      </c>
      <c r="K78" s="6">
        <v>7800000</v>
      </c>
      <c r="L78" s="7"/>
      <c r="M78" s="7"/>
      <c r="N78" s="7"/>
    </row>
    <row r="79" spans="1:14" s="4" customFormat="1" ht="13.2" x14ac:dyDescent="0.25">
      <c r="A79" s="7" t="s">
        <v>293</v>
      </c>
      <c r="B79" s="7" t="s">
        <v>294</v>
      </c>
      <c r="C79" s="7" t="s">
        <v>295</v>
      </c>
      <c r="D79" s="6"/>
      <c r="E79" s="7" t="s">
        <v>296</v>
      </c>
      <c r="F79" s="7" t="s">
        <v>294</v>
      </c>
      <c r="G79" s="6"/>
      <c r="H79" s="6" t="str">
        <f>_xll.BDP($A79,"IPO_OFFER_PX_TO_LAST_CLOSE_%_CHG",$A$1,$A$2)</f>
        <v>#N/A N/A</v>
      </c>
      <c r="I79" s="6">
        <f>_xll.BDP($A79,"IPO_OFFER_PX_TO_1ST_OPEN_%_CHG",$A$1,$A$2)</f>
        <v>21.428570000000001</v>
      </c>
      <c r="J79" s="6">
        <v>7</v>
      </c>
      <c r="K79" s="6">
        <v>4500000</v>
      </c>
      <c r="L79" s="7"/>
      <c r="M79" s="7"/>
      <c r="N79" s="7"/>
    </row>
    <row r="80" spans="1:14" s="4" customFormat="1" ht="13.2" x14ac:dyDescent="0.25">
      <c r="A80" s="7" t="s">
        <v>297</v>
      </c>
      <c r="B80" s="7" t="s">
        <v>298</v>
      </c>
      <c r="C80" s="7" t="s">
        <v>299</v>
      </c>
      <c r="D80" s="6"/>
      <c r="E80" s="7" t="s">
        <v>300</v>
      </c>
      <c r="F80" s="7" t="s">
        <v>298</v>
      </c>
      <c r="G80" s="6"/>
      <c r="H80" s="6" t="str">
        <f>_xll.BDP($A80,"IPO_OFFER_PX_TO_LAST_CLOSE_%_CHG",$A$1,$A$2)</f>
        <v>#N/A N/A</v>
      </c>
      <c r="I80" s="6">
        <f>_xll.BDP($A80,"IPO_OFFER_PX_TO_1ST_OPEN_%_CHG",$A$1,$A$2)</f>
        <v>0.89285709999999996</v>
      </c>
      <c r="J80" s="6">
        <v>10.5</v>
      </c>
      <c r="K80" s="6">
        <v>3000000</v>
      </c>
      <c r="L80" s="7"/>
      <c r="M80" s="7"/>
      <c r="N80" s="7"/>
    </row>
    <row r="81" spans="1:14" s="4" customFormat="1" ht="13.2" x14ac:dyDescent="0.25">
      <c r="A81" s="7" t="s">
        <v>301</v>
      </c>
      <c r="B81" s="7" t="s">
        <v>302</v>
      </c>
      <c r="C81" s="7" t="s">
        <v>303</v>
      </c>
      <c r="D81" s="6"/>
      <c r="E81" s="7" t="s">
        <v>304</v>
      </c>
      <c r="F81" s="7" t="s">
        <v>302</v>
      </c>
      <c r="G81" s="6"/>
      <c r="H81" s="6" t="str">
        <f>_xll.BDP($A81,"IPO_OFFER_PX_TO_LAST_CLOSE_%_CHG",$A$1,$A$2)</f>
        <v>#N/A N/A</v>
      </c>
      <c r="I81" s="6" t="str">
        <f>_xll.BDP($A81,"IPO_OFFER_PX_TO_1ST_OPEN_%_CHG",$A$1,$A$2)</f>
        <v>#N/A N/A</v>
      </c>
      <c r="J81" s="6">
        <v>18</v>
      </c>
      <c r="K81" s="6">
        <v>5600000</v>
      </c>
      <c r="L81" s="7"/>
      <c r="M81" s="7"/>
      <c r="N81" s="7"/>
    </row>
    <row r="82" spans="1:14" s="4" customFormat="1" ht="13.2" x14ac:dyDescent="0.25">
      <c r="A82" s="7" t="s">
        <v>305</v>
      </c>
      <c r="B82" s="7" t="s">
        <v>306</v>
      </c>
      <c r="C82" s="7" t="s">
        <v>303</v>
      </c>
      <c r="D82" s="6"/>
      <c r="E82" s="7" t="s">
        <v>307</v>
      </c>
      <c r="F82" s="7" t="s">
        <v>306</v>
      </c>
      <c r="G82" s="6"/>
      <c r="H82" s="6" t="str">
        <f>_xll.BDP($A82,"IPO_OFFER_PX_TO_LAST_CLOSE_%_CHG",$A$1,$A$2)</f>
        <v>#N/A N/A</v>
      </c>
      <c r="I82" s="6">
        <f>_xll.BDP($A82,"IPO_OFFER_PX_TO_1ST_OPEN_%_CHG",$A$1,$A$2)</f>
        <v>0.1953125</v>
      </c>
      <c r="J82" s="6">
        <v>8</v>
      </c>
      <c r="K82" s="6">
        <v>5000000</v>
      </c>
      <c r="L82" s="7"/>
      <c r="M82" s="7"/>
      <c r="N82" s="7"/>
    </row>
    <row r="83" spans="1:14" s="4" customFormat="1" ht="13.2" x14ac:dyDescent="0.25">
      <c r="A83" s="7" t="s">
        <v>308</v>
      </c>
      <c r="B83" s="7" t="s">
        <v>309</v>
      </c>
      <c r="C83" s="7" t="s">
        <v>303</v>
      </c>
      <c r="D83" s="6"/>
      <c r="E83" s="7" t="s">
        <v>310</v>
      </c>
      <c r="F83" s="7" t="s">
        <v>309</v>
      </c>
      <c r="G83" s="6"/>
      <c r="H83" s="6" t="str">
        <f>_xll.BDP($A83,"IPO_OFFER_PX_TO_LAST_CLOSE_%_CHG",$A$1,$A$2)</f>
        <v>#N/A N/A</v>
      </c>
      <c r="I83" s="6">
        <f>_xll.BDP($A83,"IPO_OFFER_PX_TO_1ST_OPEN_%_CHG",$A$1,$A$2)</f>
        <v>41.666670000000003</v>
      </c>
      <c r="J83" s="6">
        <v>15</v>
      </c>
      <c r="K83" s="6">
        <v>5000000</v>
      </c>
      <c r="L83" s="7"/>
      <c r="M83" s="7"/>
      <c r="N83" s="7"/>
    </row>
    <row r="84" spans="1:14" s="4" customFormat="1" ht="13.2" x14ac:dyDescent="0.25">
      <c r="A84" s="7" t="s">
        <v>311</v>
      </c>
      <c r="B84" s="7" t="s">
        <v>312</v>
      </c>
      <c r="C84" s="7" t="s">
        <v>303</v>
      </c>
      <c r="D84" s="6"/>
      <c r="E84" s="7" t="s">
        <v>313</v>
      </c>
      <c r="F84" s="7" t="s">
        <v>312</v>
      </c>
      <c r="G84" s="6"/>
      <c r="H84" s="6" t="str">
        <f>_xll.BDP($A84,"IPO_OFFER_PX_TO_LAST_CLOSE_%_CHG",$A$1,$A$2)</f>
        <v>#N/A N/A</v>
      </c>
      <c r="I84" s="6">
        <f>_xll.BDP($A84,"IPO_OFFER_PX_TO_1ST_OPEN_%_CHG",$A$1,$A$2)</f>
        <v>112.5</v>
      </c>
      <c r="J84" s="6">
        <v>16</v>
      </c>
      <c r="K84" s="6">
        <v>5400000</v>
      </c>
      <c r="L84" s="7"/>
      <c r="M84" s="7"/>
      <c r="N84" s="7"/>
    </row>
    <row r="85" spans="1:14" s="4" customFormat="1" ht="13.2" x14ac:dyDescent="0.25">
      <c r="A85" s="7" t="s">
        <v>314</v>
      </c>
      <c r="B85" s="7" t="s">
        <v>315</v>
      </c>
      <c r="C85" s="7" t="s">
        <v>316</v>
      </c>
      <c r="D85" s="6"/>
      <c r="E85" s="7" t="s">
        <v>317</v>
      </c>
      <c r="F85" s="7" t="s">
        <v>315</v>
      </c>
      <c r="G85" s="6"/>
      <c r="H85" s="6" t="str">
        <f>_xll.BDP($A85,"IPO_OFFER_PX_TO_LAST_CLOSE_%_CHG",$A$1,$A$2)</f>
        <v>#N/A N/A</v>
      </c>
      <c r="I85" s="6">
        <f>_xll.BDP($A85,"IPO_OFFER_PX_TO_1ST_OPEN_%_CHG",$A$1,$A$2)</f>
        <v>-5</v>
      </c>
      <c r="J85" s="6">
        <v>10</v>
      </c>
      <c r="K85" s="6">
        <v>1875000</v>
      </c>
      <c r="L85" s="7"/>
      <c r="M85" s="7"/>
      <c r="N85" s="7"/>
    </row>
    <row r="86" spans="1:14" s="4" customFormat="1" ht="13.2" x14ac:dyDescent="0.25">
      <c r="A86" s="7" t="s">
        <v>318</v>
      </c>
      <c r="B86" s="7" t="s">
        <v>319</v>
      </c>
      <c r="C86" s="7" t="s">
        <v>316</v>
      </c>
      <c r="D86" s="6">
        <v>1E-4</v>
      </c>
      <c r="E86" s="7" t="s">
        <v>320</v>
      </c>
      <c r="F86" s="7" t="s">
        <v>319</v>
      </c>
      <c r="G86" s="6">
        <v>4085.9975999999992</v>
      </c>
      <c r="H86" s="6">
        <f>_xll.BDP($A86,"IPO_OFFER_PX_TO_LAST_CLOSE_%_CHG",$A$1,$A$2)</f>
        <v>-99.999170000000007</v>
      </c>
      <c r="I86" s="6">
        <f>_xll.BDP($A86,"IPO_OFFER_PX_TO_1ST_OPEN_%_CHG",$A$1,$A$2)</f>
        <v>0.52083330000000005</v>
      </c>
      <c r="J86" s="6">
        <v>12</v>
      </c>
      <c r="K86" s="6">
        <v>3000000</v>
      </c>
      <c r="L86" s="7" t="s">
        <v>280</v>
      </c>
      <c r="M86" s="7" t="s">
        <v>321</v>
      </c>
      <c r="N86" s="7" t="s">
        <v>321</v>
      </c>
    </row>
    <row r="87" spans="1:14" s="4" customFormat="1" ht="13.2" x14ac:dyDescent="0.25">
      <c r="A87" s="7" t="s">
        <v>322</v>
      </c>
      <c r="B87" s="7" t="s">
        <v>323</v>
      </c>
      <c r="C87" s="7" t="s">
        <v>324</v>
      </c>
      <c r="D87" s="6"/>
      <c r="E87" s="7" t="s">
        <v>325</v>
      </c>
      <c r="F87" s="7" t="s">
        <v>323</v>
      </c>
      <c r="G87" s="6"/>
      <c r="H87" s="6" t="str">
        <f>_xll.BDP($A87,"IPO_OFFER_PX_TO_LAST_CLOSE_%_CHG",$A$1,$A$2)</f>
        <v>#N/A N/A</v>
      </c>
      <c r="I87" s="6">
        <f>_xll.BDP($A87,"IPO_OFFER_PX_TO_1ST_OPEN_%_CHG",$A$1,$A$2)</f>
        <v>0</v>
      </c>
      <c r="J87" s="6">
        <v>10</v>
      </c>
      <c r="K87" s="6">
        <v>8500000</v>
      </c>
      <c r="L87" s="7"/>
      <c r="M87" s="7"/>
      <c r="N87" s="7"/>
    </row>
    <row r="88" spans="1:14" s="4" customFormat="1" ht="13.2" x14ac:dyDescent="0.25">
      <c r="A88" s="7" t="s">
        <v>326</v>
      </c>
      <c r="B88" s="7" t="s">
        <v>327</v>
      </c>
      <c r="C88" s="7" t="s">
        <v>324</v>
      </c>
      <c r="D88" s="6"/>
      <c r="E88" s="7" t="s">
        <v>328</v>
      </c>
      <c r="F88" s="7" t="s">
        <v>327</v>
      </c>
      <c r="G88" s="6"/>
      <c r="H88" s="6" t="str">
        <f>_xll.BDP($A88,"IPO_OFFER_PX_TO_LAST_CLOSE_%_CHG",$A$1,$A$2)</f>
        <v>#N/A N/A</v>
      </c>
      <c r="I88" s="6">
        <f>_xll.BDP($A88,"IPO_OFFER_PX_TO_1ST_OPEN_%_CHG",$A$1,$A$2)</f>
        <v>0.52083330000000005</v>
      </c>
      <c r="J88" s="6">
        <v>12</v>
      </c>
      <c r="K88" s="6">
        <v>6100000</v>
      </c>
      <c r="L88" s="7"/>
      <c r="M88" s="7"/>
      <c r="N88" s="7"/>
    </row>
    <row r="89" spans="1:14" s="4" customFormat="1" ht="13.2" x14ac:dyDescent="0.25">
      <c r="A89" s="7" t="s">
        <v>329</v>
      </c>
      <c r="B89" s="7" t="s">
        <v>330</v>
      </c>
      <c r="C89" s="7" t="s">
        <v>331</v>
      </c>
      <c r="D89" s="6"/>
      <c r="E89" s="7" t="s">
        <v>332</v>
      </c>
      <c r="F89" s="7" t="s">
        <v>330</v>
      </c>
      <c r="G89" s="6"/>
      <c r="H89" s="6" t="str">
        <f>_xll.BDP($A89,"IPO_OFFER_PX_TO_LAST_CLOSE_%_CHG",$A$1,$A$2)</f>
        <v>#N/A N/A</v>
      </c>
      <c r="I89" s="6">
        <f>_xll.BDP($A89,"IPO_OFFER_PX_TO_1ST_OPEN_%_CHG",$A$1,$A$2)</f>
        <v>26.66667</v>
      </c>
      <c r="J89" s="6">
        <v>15</v>
      </c>
      <c r="K89" s="6">
        <v>4000000</v>
      </c>
      <c r="L89" s="7"/>
      <c r="M89" s="7"/>
      <c r="N89" s="7"/>
    </row>
    <row r="90" spans="1:14" s="4" customFormat="1" ht="13.2" x14ac:dyDescent="0.25">
      <c r="A90" s="7" t="s">
        <v>333</v>
      </c>
      <c r="B90" s="7" t="s">
        <v>334</v>
      </c>
      <c r="C90" s="7" t="s">
        <v>331</v>
      </c>
      <c r="D90" s="6"/>
      <c r="E90" s="7" t="s">
        <v>335</v>
      </c>
      <c r="F90" s="7" t="s">
        <v>334</v>
      </c>
      <c r="G90" s="6"/>
      <c r="H90" s="6" t="str">
        <f>_xll.BDP($A90,"IPO_OFFER_PX_TO_LAST_CLOSE_%_CHG",$A$1,$A$2)</f>
        <v>#N/A N/A</v>
      </c>
      <c r="I90" s="6">
        <f>_xll.BDP($A90,"IPO_OFFER_PX_TO_1ST_OPEN_%_CHG",$A$1,$A$2)</f>
        <v>0.390625</v>
      </c>
      <c r="J90" s="6">
        <v>8</v>
      </c>
      <c r="K90" s="6">
        <v>6500000</v>
      </c>
      <c r="L90" s="7"/>
      <c r="M90" s="7"/>
      <c r="N90" s="7"/>
    </row>
    <row r="91" spans="1:14" s="4" customFormat="1" ht="13.2" x14ac:dyDescent="0.25">
      <c r="A91" s="7" t="s">
        <v>336</v>
      </c>
      <c r="B91" s="7" t="s">
        <v>337</v>
      </c>
      <c r="C91" s="7" t="s">
        <v>331</v>
      </c>
      <c r="D91" s="6"/>
      <c r="E91" s="7" t="s">
        <v>338</v>
      </c>
      <c r="F91" s="7" t="s">
        <v>337</v>
      </c>
      <c r="G91" s="6"/>
      <c r="H91" s="6" t="str">
        <f>_xll.BDP($A91,"IPO_OFFER_PX_TO_LAST_CLOSE_%_CHG",$A$1,$A$2)</f>
        <v>#N/A N/A</v>
      </c>
      <c r="I91" s="6">
        <f>_xll.BDP($A91,"IPO_OFFER_PX_TO_1ST_OPEN_%_CHG",$A$1,$A$2)</f>
        <v>-7.1428570000000002</v>
      </c>
      <c r="J91" s="6">
        <v>7</v>
      </c>
      <c r="K91" s="6">
        <v>5000000</v>
      </c>
      <c r="L91" s="7"/>
      <c r="M91" s="7"/>
      <c r="N91" s="7"/>
    </row>
    <row r="92" spans="1:14" s="4" customFormat="1" ht="13.2" x14ac:dyDescent="0.25">
      <c r="A92" s="7" t="s">
        <v>339</v>
      </c>
      <c r="B92" s="7" t="s">
        <v>340</v>
      </c>
      <c r="C92" s="7" t="s">
        <v>341</v>
      </c>
      <c r="D92" s="6">
        <v>1017.31</v>
      </c>
      <c r="E92" s="7" t="s">
        <v>342</v>
      </c>
      <c r="F92" s="7" t="s">
        <v>340</v>
      </c>
      <c r="G92" s="6">
        <v>100331433732.87999</v>
      </c>
      <c r="H92" s="6">
        <f>_xll.BDP($A92,"IPO_OFFER_PX_TO_LAST_CLOSE_%_CHG",$A$1,$A$2)</f>
        <v>8377.5830000000005</v>
      </c>
      <c r="I92" s="6">
        <f>_xll.BDP($A92,"IPO_OFFER_PX_TO_1ST_OPEN_%_CHG",$A$1,$A$2)</f>
        <v>-45.833329999999997</v>
      </c>
      <c r="J92" s="6">
        <v>12</v>
      </c>
      <c r="K92" s="6">
        <v>20000000</v>
      </c>
      <c r="L92" s="7" t="s">
        <v>343</v>
      </c>
      <c r="M92" s="7" t="s">
        <v>344</v>
      </c>
      <c r="N92" s="7" t="s">
        <v>345</v>
      </c>
    </row>
    <row r="93" spans="1:14" s="4" customFormat="1" ht="13.2" x14ac:dyDescent="0.25">
      <c r="A93" s="7" t="s">
        <v>346</v>
      </c>
      <c r="B93" s="7" t="s">
        <v>347</v>
      </c>
      <c r="C93" s="7" t="s">
        <v>341</v>
      </c>
      <c r="D93" s="6"/>
      <c r="E93" s="7" t="s">
        <v>348</v>
      </c>
      <c r="F93" s="7" t="s">
        <v>347</v>
      </c>
      <c r="G93" s="6"/>
      <c r="H93" s="6" t="str">
        <f>_xll.BDP($A93,"IPO_OFFER_PX_TO_LAST_CLOSE_%_CHG",$A$1,$A$2)</f>
        <v>#N/A N/A</v>
      </c>
      <c r="I93" s="6">
        <f>_xll.BDP($A93,"IPO_OFFER_PX_TO_1ST_OPEN_%_CHG",$A$1,$A$2)</f>
        <v>0.44642860000000001</v>
      </c>
      <c r="J93" s="6">
        <v>7</v>
      </c>
      <c r="K93" s="6">
        <v>5000000</v>
      </c>
      <c r="L93" s="7"/>
      <c r="M93" s="7"/>
      <c r="N93" s="7"/>
    </row>
    <row r="94" spans="1:14" s="4" customFormat="1" ht="13.2" x14ac:dyDescent="0.25">
      <c r="A94" s="7" t="s">
        <v>349</v>
      </c>
      <c r="B94" s="7" t="s">
        <v>350</v>
      </c>
      <c r="C94" s="7" t="s">
        <v>341</v>
      </c>
      <c r="D94" s="6"/>
      <c r="E94" s="7" t="s">
        <v>351</v>
      </c>
      <c r="F94" s="7" t="s">
        <v>350</v>
      </c>
      <c r="G94" s="6"/>
      <c r="H94" s="6" t="str">
        <f>_xll.BDP($A94,"IPO_OFFER_PX_TO_LAST_CLOSE_%_CHG",$A$1,$A$2)</f>
        <v>#N/A N/A</v>
      </c>
      <c r="I94" s="6">
        <f>_xll.BDP($A94,"IPO_OFFER_PX_TO_1ST_OPEN_%_CHG",$A$1,$A$2)</f>
        <v>6.25</v>
      </c>
      <c r="J94" s="6">
        <v>12</v>
      </c>
      <c r="K94" s="6">
        <v>20000000</v>
      </c>
      <c r="L94" s="7"/>
      <c r="M94" s="7"/>
      <c r="N94" s="7"/>
    </row>
    <row r="95" spans="1:14" s="4" customFormat="1" ht="13.2" x14ac:dyDescent="0.25">
      <c r="A95" s="7" t="s">
        <v>352</v>
      </c>
      <c r="B95" s="7" t="s">
        <v>353</v>
      </c>
      <c r="C95" s="7" t="s">
        <v>341</v>
      </c>
      <c r="D95" s="6"/>
      <c r="E95" s="7" t="s">
        <v>354</v>
      </c>
      <c r="F95" s="7" t="s">
        <v>353</v>
      </c>
      <c r="G95" s="6"/>
      <c r="H95" s="6" t="str">
        <f>_xll.BDP($A95,"IPO_OFFER_PX_TO_LAST_CLOSE_%_CHG",$A$1,$A$2)</f>
        <v>#N/A N/A</v>
      </c>
      <c r="I95" s="6">
        <f>_xll.BDP($A95,"IPO_OFFER_PX_TO_1ST_OPEN_%_CHG",$A$1,$A$2)</f>
        <v>0.28409089999999998</v>
      </c>
      <c r="J95" s="6">
        <v>11</v>
      </c>
      <c r="K95" s="6">
        <v>6250000</v>
      </c>
      <c r="L95" s="7"/>
      <c r="M95" s="7"/>
      <c r="N95" s="7"/>
    </row>
    <row r="96" spans="1:14" s="4" customFormat="1" ht="13.2" x14ac:dyDescent="0.25">
      <c r="A96" s="7" t="s">
        <v>355</v>
      </c>
      <c r="B96" s="7" t="s">
        <v>356</v>
      </c>
      <c r="C96" s="7" t="s">
        <v>357</v>
      </c>
      <c r="D96" s="6"/>
      <c r="E96" s="7" t="s">
        <v>358</v>
      </c>
      <c r="F96" s="7" t="s">
        <v>356</v>
      </c>
      <c r="G96" s="6"/>
      <c r="H96" s="6" t="str">
        <f>_xll.BDP($A96,"IPO_OFFER_PX_TO_LAST_CLOSE_%_CHG",$A$1,$A$2)</f>
        <v>#N/A N/A</v>
      </c>
      <c r="I96" s="6">
        <f>_xll.BDP($A96,"IPO_OFFER_PX_TO_1ST_OPEN_%_CHG",$A$1,$A$2)</f>
        <v>0</v>
      </c>
      <c r="J96" s="6">
        <v>9</v>
      </c>
      <c r="K96" s="6">
        <v>5000000</v>
      </c>
      <c r="L96" s="7"/>
      <c r="M96" s="7"/>
      <c r="N96" s="7"/>
    </row>
    <row r="97" spans="1:14" s="4" customFormat="1" ht="13.2" x14ac:dyDescent="0.25">
      <c r="A97" s="7" t="s">
        <v>359</v>
      </c>
      <c r="B97" s="7" t="s">
        <v>360</v>
      </c>
      <c r="C97" s="7" t="s">
        <v>357</v>
      </c>
      <c r="D97" s="6"/>
      <c r="E97" s="7" t="s">
        <v>361</v>
      </c>
      <c r="F97" s="7" t="s">
        <v>360</v>
      </c>
      <c r="G97" s="6"/>
      <c r="H97" s="6" t="str">
        <f>_xll.BDP($A97,"IPO_OFFER_PX_TO_LAST_CLOSE_%_CHG",$A$1,$A$2)</f>
        <v>#N/A N/A</v>
      </c>
      <c r="I97" s="6">
        <f>_xll.BDP($A97,"IPO_OFFER_PX_TO_1ST_OPEN_%_CHG",$A$1,$A$2)</f>
        <v>16.517859999999999</v>
      </c>
      <c r="J97" s="6">
        <v>14</v>
      </c>
      <c r="K97" s="6">
        <v>5700000</v>
      </c>
      <c r="L97" s="7"/>
      <c r="M97" s="7"/>
      <c r="N97" s="7"/>
    </row>
    <row r="98" spans="1:14" s="4" customFormat="1" ht="13.2" x14ac:dyDescent="0.25">
      <c r="A98" s="7" t="s">
        <v>362</v>
      </c>
      <c r="B98" s="7" t="s">
        <v>363</v>
      </c>
      <c r="C98" s="7" t="s">
        <v>357</v>
      </c>
      <c r="D98" s="6"/>
      <c r="E98" s="7" t="s">
        <v>364</v>
      </c>
      <c r="F98" s="7" t="s">
        <v>363</v>
      </c>
      <c r="G98" s="6"/>
      <c r="H98" s="6" t="str">
        <f>_xll.BDP($A98,"IPO_OFFER_PX_TO_LAST_CLOSE_%_CHG",$A$1,$A$2)</f>
        <v>#N/A N/A</v>
      </c>
      <c r="I98" s="6">
        <f>_xll.BDP($A98,"IPO_OFFER_PX_TO_1ST_OPEN_%_CHG",$A$1,$A$2)</f>
        <v>52.941180000000003</v>
      </c>
      <c r="J98" s="6">
        <v>17</v>
      </c>
      <c r="K98" s="6">
        <v>5000000</v>
      </c>
      <c r="L98" s="7"/>
      <c r="M98" s="7"/>
      <c r="N98" s="7"/>
    </row>
    <row r="99" spans="1:14" s="4" customFormat="1" ht="13.2" x14ac:dyDescent="0.25">
      <c r="A99" s="7" t="s">
        <v>365</v>
      </c>
      <c r="B99" s="7" t="s">
        <v>366</v>
      </c>
      <c r="C99" s="7" t="s">
        <v>357</v>
      </c>
      <c r="D99" s="6"/>
      <c r="E99" s="7" t="s">
        <v>367</v>
      </c>
      <c r="F99" s="7" t="s">
        <v>366</v>
      </c>
      <c r="G99" s="6"/>
      <c r="H99" s="6" t="str">
        <f>_xll.BDP($A99,"IPO_OFFER_PX_TO_LAST_CLOSE_%_CHG",$A$1,$A$2)</f>
        <v>#N/A N/A</v>
      </c>
      <c r="I99" s="6">
        <f>_xll.BDP($A99,"IPO_OFFER_PX_TO_1ST_OPEN_%_CHG",$A$1,$A$2)</f>
        <v>8.8541670000000003</v>
      </c>
      <c r="J99" s="6">
        <v>12</v>
      </c>
      <c r="K99" s="6">
        <v>3000000</v>
      </c>
      <c r="L99" s="7"/>
      <c r="M99" s="7"/>
      <c r="N99" s="7"/>
    </row>
    <row r="100" spans="1:14" s="4" customFormat="1" ht="13.2" x14ac:dyDescent="0.25">
      <c r="A100" s="7" t="s">
        <v>368</v>
      </c>
      <c r="B100" s="7" t="s">
        <v>369</v>
      </c>
      <c r="C100" s="7" t="s">
        <v>357</v>
      </c>
      <c r="D100" s="6"/>
      <c r="E100" s="7" t="s">
        <v>370</v>
      </c>
      <c r="F100" s="7" t="s">
        <v>369</v>
      </c>
      <c r="G100" s="6"/>
      <c r="H100" s="6" t="str">
        <f>_xll.BDP($A100,"IPO_OFFER_PX_TO_LAST_CLOSE_%_CHG",$A$1,$A$2)</f>
        <v>#N/A N/A</v>
      </c>
      <c r="I100" s="6">
        <f>_xll.BDP($A100,"IPO_OFFER_PX_TO_1ST_OPEN_%_CHG",$A$1,$A$2)</f>
        <v>6.25</v>
      </c>
      <c r="J100" s="6">
        <v>9</v>
      </c>
      <c r="K100" s="6">
        <v>6000000</v>
      </c>
      <c r="L100" s="7"/>
      <c r="M100" s="7"/>
      <c r="N100" s="7"/>
    </row>
    <row r="101" spans="1:14" s="4" customFormat="1" ht="13.2" x14ac:dyDescent="0.25">
      <c r="A101" s="7" t="s">
        <v>371</v>
      </c>
      <c r="B101" s="7" t="s">
        <v>372</v>
      </c>
      <c r="C101" s="7" t="s">
        <v>373</v>
      </c>
      <c r="D101" s="6"/>
      <c r="E101" s="7" t="s">
        <v>374</v>
      </c>
      <c r="F101" s="7" t="s">
        <v>372</v>
      </c>
      <c r="G101" s="6"/>
      <c r="H101" s="6" t="str">
        <f>_xll.BDP($A101,"IPO_OFFER_PX_TO_LAST_CLOSE_%_CHG",$A$1,$A$2)</f>
        <v>#N/A N/A</v>
      </c>
      <c r="I101" s="6">
        <f>_xll.BDP($A101,"IPO_OFFER_PX_TO_1ST_OPEN_%_CHG",$A$1,$A$2)</f>
        <v>8.3333329999999997</v>
      </c>
      <c r="J101" s="6">
        <v>12</v>
      </c>
      <c r="K101" s="6">
        <v>10000000</v>
      </c>
      <c r="L101" s="7"/>
      <c r="M101" s="7"/>
      <c r="N101" s="7"/>
    </row>
    <row r="102" spans="1:14" s="4" customFormat="1" ht="13.2" x14ac:dyDescent="0.25">
      <c r="A102" s="7" t="s">
        <v>375</v>
      </c>
      <c r="B102" s="7" t="s">
        <v>376</v>
      </c>
      <c r="C102" s="7" t="s">
        <v>373</v>
      </c>
      <c r="D102" s="6"/>
      <c r="E102" s="7" t="s">
        <v>377</v>
      </c>
      <c r="F102" s="7" t="s">
        <v>376</v>
      </c>
      <c r="G102" s="6"/>
      <c r="H102" s="6" t="str">
        <f>_xll.BDP($A102,"IPO_OFFER_PX_TO_LAST_CLOSE_%_CHG",$A$1,$A$2)</f>
        <v>#N/A N/A</v>
      </c>
      <c r="I102" s="6">
        <f>_xll.BDP($A102,"IPO_OFFER_PX_TO_1ST_OPEN_%_CHG",$A$1,$A$2)</f>
        <v>0</v>
      </c>
      <c r="J102" s="6">
        <v>8</v>
      </c>
      <c r="K102" s="6">
        <v>6000000</v>
      </c>
      <c r="L102" s="7"/>
      <c r="M102" s="7"/>
      <c r="N102" s="7"/>
    </row>
    <row r="103" spans="1:14" s="4" customFormat="1" ht="13.2" x14ac:dyDescent="0.25">
      <c r="A103" s="7" t="s">
        <v>378</v>
      </c>
      <c r="B103" s="7" t="s">
        <v>379</v>
      </c>
      <c r="C103" s="7" t="s">
        <v>373</v>
      </c>
      <c r="D103" s="6"/>
      <c r="E103" s="7" t="s">
        <v>380</v>
      </c>
      <c r="F103" s="7" t="s">
        <v>379</v>
      </c>
      <c r="G103" s="6"/>
      <c r="H103" s="6" t="str">
        <f>_xll.BDP($A103,"IPO_OFFER_PX_TO_LAST_CLOSE_%_CHG",$A$1,$A$2)</f>
        <v>#N/A N/A</v>
      </c>
      <c r="I103" s="6">
        <f>_xll.BDP($A103,"IPO_OFFER_PX_TO_1ST_OPEN_%_CHG",$A$1,$A$2)</f>
        <v>68.75</v>
      </c>
      <c r="J103" s="6">
        <v>16</v>
      </c>
      <c r="K103" s="6">
        <v>7000000</v>
      </c>
      <c r="L103" s="7"/>
      <c r="M103" s="7"/>
      <c r="N103" s="7"/>
    </row>
    <row r="104" spans="1:14" s="4" customFormat="1" ht="13.2" x14ac:dyDescent="0.25">
      <c r="A104" s="7" t="s">
        <v>381</v>
      </c>
      <c r="B104" s="7" t="s">
        <v>382</v>
      </c>
      <c r="C104" s="7" t="s">
        <v>373</v>
      </c>
      <c r="D104" s="6"/>
      <c r="E104" s="7" t="s">
        <v>383</v>
      </c>
      <c r="F104" s="7" t="s">
        <v>382</v>
      </c>
      <c r="G104" s="6"/>
      <c r="H104" s="6" t="str">
        <f>_xll.BDP($A104,"IPO_OFFER_PX_TO_LAST_CLOSE_%_CHG",$A$1,$A$2)</f>
        <v>#N/A N/A</v>
      </c>
      <c r="I104" s="6">
        <f>_xll.BDP($A104,"IPO_OFFER_PX_TO_1ST_OPEN_%_CHG",$A$1,$A$2)</f>
        <v>-2.7777780000000001</v>
      </c>
      <c r="J104" s="6">
        <v>9</v>
      </c>
      <c r="K104" s="6">
        <v>4750000</v>
      </c>
      <c r="L104" s="7"/>
      <c r="M104" s="7"/>
      <c r="N104" s="7"/>
    </row>
    <row r="105" spans="1:14" s="4" customFormat="1" ht="13.2" x14ac:dyDescent="0.25">
      <c r="A105" s="7" t="s">
        <v>384</v>
      </c>
      <c r="B105" s="7" t="s">
        <v>385</v>
      </c>
      <c r="C105" s="7" t="s">
        <v>373</v>
      </c>
      <c r="D105" s="6"/>
      <c r="E105" s="7" t="s">
        <v>386</v>
      </c>
      <c r="F105" s="7" t="s">
        <v>385</v>
      </c>
      <c r="G105" s="6"/>
      <c r="H105" s="6" t="str">
        <f>_xll.BDP($A105,"IPO_OFFER_PX_TO_LAST_CLOSE_%_CHG",$A$1,$A$2)</f>
        <v>#N/A N/A</v>
      </c>
      <c r="I105" s="6" t="str">
        <f>_xll.BDP($A105,"IPO_OFFER_PX_TO_1ST_OPEN_%_CHG",$A$1,$A$2)</f>
        <v>#N/A N/A</v>
      </c>
      <c r="J105" s="6">
        <v>10</v>
      </c>
      <c r="K105" s="6">
        <v>3000000</v>
      </c>
      <c r="L105" s="7"/>
      <c r="M105" s="7"/>
      <c r="N105" s="7"/>
    </row>
    <row r="106" spans="1:14" s="4" customFormat="1" ht="13.2" x14ac:dyDescent="0.25">
      <c r="A106" s="7" t="s">
        <v>387</v>
      </c>
      <c r="B106" s="7" t="s">
        <v>388</v>
      </c>
      <c r="C106" s="7" t="s">
        <v>373</v>
      </c>
      <c r="D106" s="6"/>
      <c r="E106" s="7" t="s">
        <v>389</v>
      </c>
      <c r="F106" s="7" t="s">
        <v>388</v>
      </c>
      <c r="G106" s="6"/>
      <c r="H106" s="6" t="str">
        <f>_xll.BDP($A106,"IPO_OFFER_PX_TO_LAST_CLOSE_%_CHG",$A$1,$A$2)</f>
        <v>#N/A N/A</v>
      </c>
      <c r="I106" s="6">
        <f>_xll.BDP($A106,"IPO_OFFER_PX_TO_1ST_OPEN_%_CHG",$A$1,$A$2)</f>
        <v>0</v>
      </c>
      <c r="J106" s="6">
        <v>10</v>
      </c>
      <c r="K106" s="6">
        <v>3000000</v>
      </c>
      <c r="L106" s="7"/>
      <c r="M106" s="7"/>
      <c r="N106" s="7"/>
    </row>
    <row r="107" spans="1:14" s="4" customFormat="1" ht="13.2" x14ac:dyDescent="0.25">
      <c r="A107" s="7" t="s">
        <v>390</v>
      </c>
      <c r="B107" s="7" t="s">
        <v>391</v>
      </c>
      <c r="C107" s="7" t="s">
        <v>373</v>
      </c>
      <c r="D107" s="6"/>
      <c r="E107" s="7" t="s">
        <v>392</v>
      </c>
      <c r="F107" s="7" t="s">
        <v>391</v>
      </c>
      <c r="G107" s="6"/>
      <c r="H107" s="6" t="str">
        <f>_xll.BDP($A107,"IPO_OFFER_PX_TO_LAST_CLOSE_%_CHG",$A$1,$A$2)</f>
        <v>#N/A N/A</v>
      </c>
      <c r="I107" s="6">
        <f>_xll.BDP($A107,"IPO_OFFER_PX_TO_1ST_OPEN_%_CHG",$A$1,$A$2)</f>
        <v>0</v>
      </c>
      <c r="J107" s="6">
        <v>11</v>
      </c>
      <c r="K107" s="6">
        <v>5000000</v>
      </c>
      <c r="L107" s="7"/>
      <c r="M107" s="7"/>
      <c r="N107" s="7"/>
    </row>
    <row r="108" spans="1:14" s="4" customFormat="1" ht="13.2" x14ac:dyDescent="0.25">
      <c r="A108" s="7" t="s">
        <v>393</v>
      </c>
      <c r="B108" s="7" t="s">
        <v>394</v>
      </c>
      <c r="C108" s="7" t="s">
        <v>395</v>
      </c>
      <c r="D108" s="6"/>
      <c r="E108" s="7" t="s">
        <v>396</v>
      </c>
      <c r="F108" s="7" t="s">
        <v>394</v>
      </c>
      <c r="G108" s="6"/>
      <c r="H108" s="6" t="str">
        <f>_xll.BDP($A108,"IPO_OFFER_PX_TO_LAST_CLOSE_%_CHG",$A$1,$A$2)</f>
        <v>#N/A N/A</v>
      </c>
      <c r="I108" s="6">
        <f>_xll.BDP($A108,"IPO_OFFER_PX_TO_1ST_OPEN_%_CHG",$A$1,$A$2)</f>
        <v>12.109375</v>
      </c>
      <c r="J108" s="6">
        <v>16</v>
      </c>
      <c r="K108" s="6">
        <v>6000000</v>
      </c>
      <c r="L108" s="7"/>
      <c r="M108" s="7"/>
      <c r="N108" s="7"/>
    </row>
    <row r="109" spans="1:14" s="4" customFormat="1" ht="13.2" x14ac:dyDescent="0.25">
      <c r="A109" s="7" t="s">
        <v>397</v>
      </c>
      <c r="B109" s="7" t="s">
        <v>398</v>
      </c>
      <c r="C109" s="7" t="s">
        <v>395</v>
      </c>
      <c r="D109" s="6"/>
      <c r="E109" s="7" t="s">
        <v>399</v>
      </c>
      <c r="F109" s="7" t="s">
        <v>398</v>
      </c>
      <c r="G109" s="6"/>
      <c r="H109" s="6" t="str">
        <f>_xll.BDP($A109,"IPO_OFFER_PX_TO_LAST_CLOSE_%_CHG",$A$1,$A$2)</f>
        <v>#N/A N/A</v>
      </c>
      <c r="I109" s="6">
        <f>_xll.BDP($A109,"IPO_OFFER_PX_TO_1ST_OPEN_%_CHG",$A$1,$A$2)</f>
        <v>3.4090910000000001</v>
      </c>
      <c r="J109" s="6">
        <v>11</v>
      </c>
      <c r="K109" s="6">
        <v>8400000</v>
      </c>
      <c r="L109" s="7"/>
      <c r="M109" s="7"/>
      <c r="N109" s="7"/>
    </row>
    <row r="110" spans="1:14" s="4" customFormat="1" ht="13.2" x14ac:dyDescent="0.25">
      <c r="A110" s="7" t="s">
        <v>400</v>
      </c>
      <c r="B110" s="7" t="s">
        <v>401</v>
      </c>
      <c r="C110" s="7" t="s">
        <v>395</v>
      </c>
      <c r="D110" s="6"/>
      <c r="E110" s="7" t="s">
        <v>402</v>
      </c>
      <c r="F110" s="7" t="s">
        <v>401</v>
      </c>
      <c r="G110" s="6"/>
      <c r="H110" s="6" t="str">
        <f>_xll.BDP($A110,"IPO_OFFER_PX_TO_LAST_CLOSE_%_CHG",$A$1,$A$2)</f>
        <v>#N/A N/A</v>
      </c>
      <c r="I110" s="6">
        <f>_xll.BDP($A110,"IPO_OFFER_PX_TO_1ST_OPEN_%_CHG",$A$1,$A$2)</f>
        <v>-0.78125</v>
      </c>
      <c r="J110" s="6">
        <v>8</v>
      </c>
      <c r="K110" s="6">
        <v>25000000</v>
      </c>
      <c r="L110" s="7"/>
      <c r="M110" s="7"/>
      <c r="N110" s="7"/>
    </row>
    <row r="111" spans="1:14" s="4" customFormat="1" ht="13.2" x14ac:dyDescent="0.25">
      <c r="A111" s="7" t="s">
        <v>403</v>
      </c>
      <c r="B111" s="7" t="s">
        <v>404</v>
      </c>
      <c r="C111" s="7" t="s">
        <v>395</v>
      </c>
      <c r="D111" s="6"/>
      <c r="E111" s="7" t="s">
        <v>405</v>
      </c>
      <c r="F111" s="7" t="s">
        <v>404</v>
      </c>
      <c r="G111" s="6"/>
      <c r="H111" s="6" t="str">
        <f>_xll.BDP($A111,"IPO_OFFER_PX_TO_LAST_CLOSE_%_CHG",$A$1,$A$2)</f>
        <v>#N/A N/A</v>
      </c>
      <c r="I111" s="6" t="str">
        <f>_xll.BDP($A111,"IPO_OFFER_PX_TO_1ST_OPEN_%_CHG",$A$1,$A$2)</f>
        <v>#N/A N/A</v>
      </c>
      <c r="J111" s="6">
        <v>17</v>
      </c>
      <c r="K111" s="6">
        <v>4700000</v>
      </c>
      <c r="L111" s="7"/>
      <c r="M111" s="7"/>
      <c r="N111" s="7"/>
    </row>
    <row r="112" spans="1:14" s="4" customFormat="1" ht="13.2" x14ac:dyDescent="0.25">
      <c r="A112" s="7" t="s">
        <v>406</v>
      </c>
      <c r="B112" s="7" t="s">
        <v>407</v>
      </c>
      <c r="C112" s="7" t="s">
        <v>395</v>
      </c>
      <c r="D112" s="6"/>
      <c r="E112" s="7" t="s">
        <v>408</v>
      </c>
      <c r="F112" s="7" t="s">
        <v>407</v>
      </c>
      <c r="G112" s="6"/>
      <c r="H112" s="6" t="str">
        <f>_xll.BDP($A112,"IPO_OFFER_PX_TO_LAST_CLOSE_%_CHG",$A$1,$A$2)</f>
        <v>#N/A N/A</v>
      </c>
      <c r="I112" s="6">
        <f>_xll.BDP($A112,"IPO_OFFER_PX_TO_1ST_OPEN_%_CHG",$A$1,$A$2)</f>
        <v>6.6666670000000003</v>
      </c>
      <c r="J112" s="6">
        <v>15</v>
      </c>
      <c r="K112" s="6">
        <v>3500000</v>
      </c>
      <c r="L112" s="7"/>
      <c r="M112" s="7"/>
      <c r="N112" s="7"/>
    </row>
    <row r="113" spans="1:14" s="4" customFormat="1" ht="13.2" x14ac:dyDescent="0.25">
      <c r="A113" s="7" t="s">
        <v>409</v>
      </c>
      <c r="B113" s="7" t="s">
        <v>410</v>
      </c>
      <c r="C113" s="7" t="s">
        <v>411</v>
      </c>
      <c r="D113" s="6"/>
      <c r="E113" s="7" t="s">
        <v>412</v>
      </c>
      <c r="F113" s="7" t="s">
        <v>410</v>
      </c>
      <c r="G113" s="6"/>
      <c r="H113" s="6" t="str">
        <f>_xll.BDP($A113,"IPO_OFFER_PX_TO_LAST_CLOSE_%_CHG",$A$1,$A$2)</f>
        <v>#N/A N/A</v>
      </c>
      <c r="I113" s="6">
        <f>_xll.BDP($A113,"IPO_OFFER_PX_TO_1ST_OPEN_%_CHG",$A$1,$A$2)</f>
        <v>68.75</v>
      </c>
      <c r="J113" s="6">
        <v>16</v>
      </c>
      <c r="K113" s="6">
        <v>4000000</v>
      </c>
      <c r="L113" s="7"/>
      <c r="M113" s="7"/>
      <c r="N113" s="7"/>
    </row>
    <row r="114" spans="1:14" s="4" customFormat="1" ht="13.2" x14ac:dyDescent="0.25">
      <c r="A114" s="7" t="s">
        <v>413</v>
      </c>
      <c r="B114" s="7" t="s">
        <v>414</v>
      </c>
      <c r="C114" s="7" t="s">
        <v>411</v>
      </c>
      <c r="D114" s="6">
        <v>56.17</v>
      </c>
      <c r="E114" s="7" t="s">
        <v>415</v>
      </c>
      <c r="F114" s="7" t="s">
        <v>414</v>
      </c>
      <c r="G114" s="6">
        <v>8550513300.0799999</v>
      </c>
      <c r="H114" s="6">
        <f>_xll.BDP($A114,"IPO_OFFER_PX_TO_LAST_CLOSE_%_CHG",$A$1,$A$2)</f>
        <v>332.07690000000002</v>
      </c>
      <c r="I114" s="6">
        <f>_xll.BDP($A114,"IPO_OFFER_PX_TO_1ST_OPEN_%_CHG",$A$1,$A$2)</f>
        <v>57.451920000000001</v>
      </c>
      <c r="J114" s="6">
        <v>13</v>
      </c>
      <c r="K114" s="6">
        <v>8000000</v>
      </c>
      <c r="L114" s="7" t="s">
        <v>52</v>
      </c>
      <c r="M114" s="7" t="s">
        <v>53</v>
      </c>
      <c r="N114" s="7" t="s">
        <v>53</v>
      </c>
    </row>
    <row r="115" spans="1:14" s="4" customFormat="1" ht="13.2" x14ac:dyDescent="0.25">
      <c r="A115" s="7" t="s">
        <v>416</v>
      </c>
      <c r="B115" s="7" t="s">
        <v>417</v>
      </c>
      <c r="C115" s="7" t="s">
        <v>411</v>
      </c>
      <c r="D115" s="6">
        <v>18.53</v>
      </c>
      <c r="E115" s="7" t="s">
        <v>418</v>
      </c>
      <c r="F115" s="7" t="s">
        <v>417</v>
      </c>
      <c r="G115" s="6">
        <v>331552601.91000003</v>
      </c>
      <c r="H115" s="6">
        <f>_xll.BDP($A115,"IPO_OFFER_PX_TO_LAST_CLOSE_%_CHG",$A$1,$A$2)</f>
        <v>152.68180000000001</v>
      </c>
      <c r="I115" s="6">
        <f>_xll.BDP($A115,"IPO_OFFER_PX_TO_1ST_OPEN_%_CHG",$A$1,$A$2)</f>
        <v>-3.4090910000000001</v>
      </c>
      <c r="J115" s="6">
        <v>11</v>
      </c>
      <c r="K115" s="6">
        <v>3000000</v>
      </c>
      <c r="L115" s="7" t="s">
        <v>21</v>
      </c>
      <c r="M115" s="7" t="s">
        <v>419</v>
      </c>
      <c r="N115" s="7" t="s">
        <v>419</v>
      </c>
    </row>
    <row r="116" spans="1:14" s="4" customFormat="1" ht="13.2" x14ac:dyDescent="0.25">
      <c r="A116" s="7" t="s">
        <v>420</v>
      </c>
      <c r="B116" s="7" t="s">
        <v>421</v>
      </c>
      <c r="C116" s="7" t="s">
        <v>411</v>
      </c>
      <c r="D116" s="6">
        <v>5.32</v>
      </c>
      <c r="E116" s="7" t="s">
        <v>422</v>
      </c>
      <c r="F116" s="7" t="s">
        <v>421</v>
      </c>
      <c r="G116" s="6">
        <v>233992736.03999999</v>
      </c>
      <c r="H116" s="6">
        <f>_xll.BDP($A116,"IPO_OFFER_PX_TO_LAST_CLOSE_%_CHG",$A$1,$A$2)</f>
        <v>-91.133319999999998</v>
      </c>
      <c r="I116" s="6">
        <f>_xll.BDP($A116,"IPO_OFFER_PX_TO_1ST_OPEN_%_CHG",$A$1,$A$2)</f>
        <v>-15</v>
      </c>
      <c r="J116" s="6">
        <v>10</v>
      </c>
      <c r="K116" s="6">
        <v>6000000</v>
      </c>
      <c r="L116" s="7" t="s">
        <v>280</v>
      </c>
      <c r="M116" s="7" t="s">
        <v>321</v>
      </c>
      <c r="N116" s="7" t="s">
        <v>321</v>
      </c>
    </row>
    <row r="117" spans="1:14" s="4" customFormat="1" ht="13.2" x14ac:dyDescent="0.25">
      <c r="A117" s="7" t="s">
        <v>423</v>
      </c>
      <c r="B117" s="7" t="s">
        <v>424</v>
      </c>
      <c r="C117" s="7" t="s">
        <v>411</v>
      </c>
      <c r="D117" s="6"/>
      <c r="E117" s="7" t="s">
        <v>425</v>
      </c>
      <c r="F117" s="7" t="s">
        <v>424</v>
      </c>
      <c r="G117" s="6"/>
      <c r="H117" s="6" t="str">
        <f>_xll.BDP($A117,"IPO_OFFER_PX_TO_LAST_CLOSE_%_CHG",$A$1,$A$2)</f>
        <v>#N/A N/A</v>
      </c>
      <c r="I117" s="6">
        <f>_xll.BDP($A117,"IPO_OFFER_PX_TO_1ST_OPEN_%_CHG",$A$1,$A$2)</f>
        <v>26.66667</v>
      </c>
      <c r="J117" s="6">
        <v>15</v>
      </c>
      <c r="K117" s="6">
        <v>5000000</v>
      </c>
      <c r="L117" s="7"/>
      <c r="M117" s="7"/>
      <c r="N117" s="7"/>
    </row>
    <row r="118" spans="1:14" s="4" customFormat="1" ht="13.2" x14ac:dyDescent="0.25">
      <c r="A118" s="7" t="s">
        <v>426</v>
      </c>
      <c r="B118" s="7" t="s">
        <v>427</v>
      </c>
      <c r="C118" s="7" t="s">
        <v>428</v>
      </c>
      <c r="D118" s="6"/>
      <c r="E118" s="7" t="s">
        <v>429</v>
      </c>
      <c r="F118" s="7" t="s">
        <v>427</v>
      </c>
      <c r="G118" s="6"/>
      <c r="H118" s="6" t="str">
        <f>_xll.BDP($A118,"IPO_OFFER_PX_TO_LAST_CLOSE_%_CHG",$A$1,$A$2)</f>
        <v>#N/A N/A</v>
      </c>
      <c r="I118" s="6">
        <f>_xll.BDP($A118,"IPO_OFFER_PX_TO_1ST_OPEN_%_CHG",$A$1,$A$2)</f>
        <v>0.390625</v>
      </c>
      <c r="J118" s="6">
        <v>8</v>
      </c>
      <c r="K118" s="6">
        <v>8000000</v>
      </c>
      <c r="L118" s="7"/>
      <c r="M118" s="7"/>
      <c r="N118" s="7"/>
    </row>
    <row r="119" spans="1:14" s="4" customFormat="1" ht="13.2" x14ac:dyDescent="0.25">
      <c r="A119" s="7" t="s">
        <v>430</v>
      </c>
      <c r="B119" s="7" t="s">
        <v>431</v>
      </c>
      <c r="C119" s="7" t="s">
        <v>428</v>
      </c>
      <c r="D119" s="6"/>
      <c r="E119" s="7" t="s">
        <v>432</v>
      </c>
      <c r="F119" s="7" t="s">
        <v>431</v>
      </c>
      <c r="G119" s="6"/>
      <c r="H119" s="6" t="str">
        <f>_xll.BDP($A119,"IPO_OFFER_PX_TO_LAST_CLOSE_%_CHG",$A$1,$A$2)</f>
        <v>#N/A N/A</v>
      </c>
      <c r="I119" s="6">
        <f>_xll.BDP($A119,"IPO_OFFER_PX_TO_1ST_OPEN_%_CHG",$A$1,$A$2)</f>
        <v>16.071429999999999</v>
      </c>
      <c r="J119" s="6">
        <v>14</v>
      </c>
      <c r="K119" s="6">
        <v>7200000</v>
      </c>
      <c r="L119" s="7"/>
      <c r="M119" s="7"/>
      <c r="N119" s="7"/>
    </row>
    <row r="120" spans="1:14" s="4" customFormat="1" ht="13.2" x14ac:dyDescent="0.25">
      <c r="A120" s="7" t="s">
        <v>433</v>
      </c>
      <c r="B120" s="7" t="s">
        <v>434</v>
      </c>
      <c r="C120" s="7" t="s">
        <v>428</v>
      </c>
      <c r="D120" s="6"/>
      <c r="E120" s="7" t="s">
        <v>435</v>
      </c>
      <c r="F120" s="7" t="s">
        <v>434</v>
      </c>
      <c r="G120" s="6"/>
      <c r="H120" s="6" t="str">
        <f>_xll.BDP($A120,"IPO_OFFER_PX_TO_LAST_CLOSE_%_CHG",$A$1,$A$2)</f>
        <v>#N/A N/A</v>
      </c>
      <c r="I120" s="6">
        <f>_xll.BDP($A120,"IPO_OFFER_PX_TO_1ST_OPEN_%_CHG",$A$1,$A$2)</f>
        <v>119.0476</v>
      </c>
      <c r="J120" s="6">
        <v>21</v>
      </c>
      <c r="K120" s="6">
        <v>4000000</v>
      </c>
      <c r="L120" s="7"/>
      <c r="M120" s="7"/>
      <c r="N120" s="7"/>
    </row>
    <row r="121" spans="1:14" s="4" customFormat="1" ht="13.2" x14ac:dyDescent="0.25">
      <c r="A121" s="7" t="s">
        <v>436</v>
      </c>
      <c r="B121" s="7" t="s">
        <v>437</v>
      </c>
      <c r="C121" s="7" t="s">
        <v>428</v>
      </c>
      <c r="D121" s="6"/>
      <c r="E121" s="7" t="s">
        <v>438</v>
      </c>
      <c r="F121" s="7" t="s">
        <v>437</v>
      </c>
      <c r="G121" s="6"/>
      <c r="H121" s="6" t="str">
        <f>_xll.BDP($A121,"IPO_OFFER_PX_TO_LAST_CLOSE_%_CHG",$A$1,$A$2)</f>
        <v>#N/A N/A</v>
      </c>
      <c r="I121" s="6">
        <f>_xll.BDP($A121,"IPO_OFFER_PX_TO_1ST_OPEN_%_CHG",$A$1,$A$2)</f>
        <v>18.75</v>
      </c>
      <c r="J121" s="6">
        <v>12</v>
      </c>
      <c r="K121" s="6">
        <v>5500000</v>
      </c>
      <c r="L121" s="7"/>
      <c r="M121" s="7"/>
      <c r="N121" s="7"/>
    </row>
    <row r="122" spans="1:14" s="4" customFormat="1" ht="13.2" x14ac:dyDescent="0.25">
      <c r="A122" s="7" t="s">
        <v>439</v>
      </c>
      <c r="B122" s="7" t="s">
        <v>440</v>
      </c>
      <c r="C122" s="7" t="s">
        <v>428</v>
      </c>
      <c r="D122" s="6"/>
      <c r="E122" s="7" t="s">
        <v>441</v>
      </c>
      <c r="F122" s="7" t="s">
        <v>440</v>
      </c>
      <c r="G122" s="6"/>
      <c r="H122" s="6" t="str">
        <f>_xll.BDP($A122,"IPO_OFFER_PX_TO_LAST_CLOSE_%_CHG",$A$1,$A$2)</f>
        <v>#N/A N/A</v>
      </c>
      <c r="I122" s="6">
        <f>_xll.BDP($A122,"IPO_OFFER_PX_TO_1ST_OPEN_%_CHG",$A$1,$A$2)</f>
        <v>0.28409089999999998</v>
      </c>
      <c r="J122" s="6">
        <v>11</v>
      </c>
      <c r="K122" s="6">
        <v>4600000</v>
      </c>
      <c r="L122" s="7"/>
      <c r="M122" s="7"/>
      <c r="N122" s="7"/>
    </row>
    <row r="123" spans="1:14" s="4" customFormat="1" ht="13.2" x14ac:dyDescent="0.25">
      <c r="A123" s="7" t="s">
        <v>442</v>
      </c>
      <c r="B123" s="7" t="s">
        <v>443</v>
      </c>
      <c r="C123" s="7" t="s">
        <v>428</v>
      </c>
      <c r="D123" s="6"/>
      <c r="E123" s="7" t="s">
        <v>444</v>
      </c>
      <c r="F123" s="7" t="s">
        <v>443</v>
      </c>
      <c r="G123" s="6"/>
      <c r="H123" s="6" t="str">
        <f>_xll.BDP($A123,"IPO_OFFER_PX_TO_LAST_CLOSE_%_CHG",$A$1,$A$2)</f>
        <v>#N/A N/A</v>
      </c>
      <c r="I123" s="6">
        <f>_xll.BDP($A123,"IPO_OFFER_PX_TO_1ST_OPEN_%_CHG",$A$1,$A$2)</f>
        <v>47.058819999999997</v>
      </c>
      <c r="J123" s="6">
        <v>17</v>
      </c>
      <c r="K123" s="6">
        <v>4400000</v>
      </c>
      <c r="L123" s="7"/>
      <c r="M123" s="7"/>
      <c r="N123" s="7"/>
    </row>
    <row r="124" spans="1:14" s="4" customFormat="1" ht="13.2" x14ac:dyDescent="0.25">
      <c r="A124" s="7" t="s">
        <v>445</v>
      </c>
      <c r="B124" s="7" t="s">
        <v>446</v>
      </c>
      <c r="C124" s="7" t="s">
        <v>428</v>
      </c>
      <c r="D124" s="6"/>
      <c r="E124" s="7" t="s">
        <v>447</v>
      </c>
      <c r="F124" s="7" t="s">
        <v>446</v>
      </c>
      <c r="G124" s="6"/>
      <c r="H124" s="6" t="str">
        <f>_xll.BDP($A124,"IPO_OFFER_PX_TO_LAST_CLOSE_%_CHG",$A$1,$A$2)</f>
        <v>#N/A N/A</v>
      </c>
      <c r="I124" s="6">
        <f>_xll.BDP($A124,"IPO_OFFER_PX_TO_1ST_OPEN_%_CHG",$A$1,$A$2)</f>
        <v>-7.2916670000000003</v>
      </c>
      <c r="J124" s="6">
        <v>12</v>
      </c>
      <c r="K124" s="6">
        <v>5000000</v>
      </c>
      <c r="L124" s="7"/>
      <c r="M124" s="7"/>
      <c r="N124" s="7"/>
    </row>
    <row r="125" spans="1:14" s="4" customFormat="1" ht="13.2" x14ac:dyDescent="0.25">
      <c r="A125" s="7" t="s">
        <v>448</v>
      </c>
      <c r="B125" s="7" t="s">
        <v>449</v>
      </c>
      <c r="C125" s="7" t="s">
        <v>428</v>
      </c>
      <c r="D125" s="6"/>
      <c r="E125" s="7" t="s">
        <v>450</v>
      </c>
      <c r="F125" s="7" t="s">
        <v>449</v>
      </c>
      <c r="G125" s="6"/>
      <c r="H125" s="6" t="str">
        <f>_xll.BDP($A125,"IPO_OFFER_PX_TO_LAST_CLOSE_%_CHG",$A$1,$A$2)</f>
        <v>#N/A N/A</v>
      </c>
      <c r="I125" s="6" t="str">
        <f>_xll.BDP($A125,"IPO_OFFER_PX_TO_1ST_OPEN_%_CHG",$A$1,$A$2)</f>
        <v>#N/A N/A</v>
      </c>
      <c r="J125" s="6">
        <v>6.5</v>
      </c>
      <c r="K125" s="6">
        <v>1800000</v>
      </c>
      <c r="L125" s="7"/>
      <c r="M125" s="7"/>
      <c r="N125" s="7"/>
    </row>
    <row r="126" spans="1:14" s="4" customFormat="1" ht="13.2" x14ac:dyDescent="0.25">
      <c r="A126" s="7" t="s">
        <v>451</v>
      </c>
      <c r="B126" s="7" t="s">
        <v>452</v>
      </c>
      <c r="C126" s="7" t="s">
        <v>428</v>
      </c>
      <c r="D126" s="6"/>
      <c r="E126" s="7" t="s">
        <v>453</v>
      </c>
      <c r="F126" s="7" t="s">
        <v>452</v>
      </c>
      <c r="G126" s="6"/>
      <c r="H126" s="6" t="str">
        <f>_xll.BDP($A126,"IPO_OFFER_PX_TO_LAST_CLOSE_%_CHG",$A$1,$A$2)</f>
        <v>#N/A N/A</v>
      </c>
      <c r="I126" s="6">
        <f>_xll.BDP($A126,"IPO_OFFER_PX_TO_1ST_OPEN_%_CHG",$A$1,$A$2)</f>
        <v>-19.23077</v>
      </c>
      <c r="J126" s="6">
        <v>13</v>
      </c>
      <c r="K126" s="6">
        <v>9000000</v>
      </c>
      <c r="L126" s="7"/>
      <c r="M126" s="7"/>
      <c r="N126" s="7"/>
    </row>
    <row r="127" spans="1:14" s="4" customFormat="1" ht="13.2" x14ac:dyDescent="0.25">
      <c r="A127" s="7" t="s">
        <v>454</v>
      </c>
      <c r="B127" s="7" t="s">
        <v>455</v>
      </c>
      <c r="C127" s="7" t="s">
        <v>428</v>
      </c>
      <c r="D127" s="6"/>
      <c r="E127" s="7" t="s">
        <v>456</v>
      </c>
      <c r="F127" s="7" t="s">
        <v>455</v>
      </c>
      <c r="G127" s="6"/>
      <c r="H127" s="6">
        <f>_xll.BDP($A127,"IPO_OFFER_PX_TO_LAST_CLOSE_%_CHG",$A$1,$A$2)</f>
        <v>-99.999989999999997</v>
      </c>
      <c r="I127" s="6">
        <f>_xll.BDP($A127,"IPO_OFFER_PX_TO_1ST_OPEN_%_CHG",$A$1,$A$2)</f>
        <v>20</v>
      </c>
      <c r="J127" s="6">
        <v>15</v>
      </c>
      <c r="K127" s="6">
        <v>7000000</v>
      </c>
      <c r="L127" s="7"/>
      <c r="M127" s="7"/>
      <c r="N127" s="7"/>
    </row>
    <row r="128" spans="1:14" s="4" customFormat="1" ht="13.2" x14ac:dyDescent="0.25">
      <c r="A128" s="7" t="s">
        <v>457</v>
      </c>
      <c r="B128" s="7" t="s">
        <v>458</v>
      </c>
      <c r="C128" s="7" t="s">
        <v>459</v>
      </c>
      <c r="D128" s="6"/>
      <c r="E128" s="7" t="s">
        <v>460</v>
      </c>
      <c r="F128" s="7" t="s">
        <v>458</v>
      </c>
      <c r="G128" s="6"/>
      <c r="H128" s="6" t="str">
        <f>_xll.BDP($A128,"IPO_OFFER_PX_TO_LAST_CLOSE_%_CHG",$A$1,$A$2)</f>
        <v>#N/A N/A</v>
      </c>
      <c r="I128" s="6">
        <f>_xll.BDP($A128,"IPO_OFFER_PX_TO_1ST_OPEN_%_CHG",$A$1,$A$2)</f>
        <v>33.333329999999997</v>
      </c>
      <c r="J128" s="6">
        <v>15</v>
      </c>
      <c r="K128" s="6">
        <v>5300000</v>
      </c>
      <c r="L128" s="7"/>
      <c r="M128" s="7"/>
      <c r="N128" s="7"/>
    </row>
    <row r="129" spans="1:14" s="4" customFormat="1" ht="13.2" x14ac:dyDescent="0.25">
      <c r="A129" s="7" t="s">
        <v>461</v>
      </c>
      <c r="B129" s="7" t="s">
        <v>462</v>
      </c>
      <c r="C129" s="7" t="s">
        <v>459</v>
      </c>
      <c r="D129" s="6"/>
      <c r="E129" s="7" t="s">
        <v>463</v>
      </c>
      <c r="F129" s="7" t="s">
        <v>462</v>
      </c>
      <c r="G129" s="6"/>
      <c r="H129" s="6" t="str">
        <f>_xll.BDP($A129,"IPO_OFFER_PX_TO_LAST_CLOSE_%_CHG",$A$1,$A$2)</f>
        <v>#N/A N/A</v>
      </c>
      <c r="I129" s="6">
        <f>_xll.BDP($A129,"IPO_OFFER_PX_TO_1ST_OPEN_%_CHG",$A$1,$A$2)</f>
        <v>15.38461</v>
      </c>
      <c r="J129" s="6">
        <v>13</v>
      </c>
      <c r="K129" s="6">
        <v>6000000</v>
      </c>
      <c r="L129" s="7"/>
      <c r="M129" s="7"/>
      <c r="N129" s="7"/>
    </row>
    <row r="130" spans="1:14" s="4" customFormat="1" ht="13.2" x14ac:dyDescent="0.25">
      <c r="A130" s="7" t="s">
        <v>464</v>
      </c>
      <c r="B130" s="7" t="s">
        <v>465</v>
      </c>
      <c r="C130" s="7" t="s">
        <v>459</v>
      </c>
      <c r="D130" s="6"/>
      <c r="E130" s="7" t="s">
        <v>466</v>
      </c>
      <c r="F130" s="7" t="s">
        <v>465</v>
      </c>
      <c r="G130" s="6"/>
      <c r="H130" s="6" t="str">
        <f>_xll.BDP($A130,"IPO_OFFER_PX_TO_LAST_CLOSE_%_CHG",$A$1,$A$2)</f>
        <v>#N/A N/A</v>
      </c>
      <c r="I130" s="6">
        <f>_xll.BDP($A130,"IPO_OFFER_PX_TO_1ST_OPEN_%_CHG",$A$1,$A$2)</f>
        <v>38.461539999999999</v>
      </c>
      <c r="J130" s="6">
        <v>13</v>
      </c>
      <c r="K130" s="6">
        <v>4000000</v>
      </c>
      <c r="L130" s="7"/>
      <c r="M130" s="7"/>
      <c r="N130" s="7"/>
    </row>
    <row r="131" spans="1:14" s="4" customFormat="1" ht="13.2" x14ac:dyDescent="0.25">
      <c r="A131" s="7" t="s">
        <v>467</v>
      </c>
      <c r="B131" s="7" t="s">
        <v>468</v>
      </c>
      <c r="C131" s="7" t="s">
        <v>459</v>
      </c>
      <c r="D131" s="6">
        <v>11.03</v>
      </c>
      <c r="E131" s="7" t="s">
        <v>469</v>
      </c>
      <c r="F131" s="7" t="s">
        <v>468</v>
      </c>
      <c r="G131" s="6">
        <v>1015192155.4000001</v>
      </c>
      <c r="H131" s="6">
        <f>_xll.BDP($A131,"IPO_OFFER_PX_TO_LAST_CLOSE_%_CHG",$A$1,$A$2)</f>
        <v>-33.151519999999998</v>
      </c>
      <c r="I131" s="6">
        <f>_xll.BDP($A131,"IPO_OFFER_PX_TO_1ST_OPEN_%_CHG",$A$1,$A$2)</f>
        <v>12.87879</v>
      </c>
      <c r="J131" s="6">
        <v>16.5</v>
      </c>
      <c r="K131" s="6">
        <v>46000000</v>
      </c>
      <c r="L131" s="7" t="s">
        <v>470</v>
      </c>
      <c r="M131" s="7" t="s">
        <v>471</v>
      </c>
      <c r="N131" s="7" t="s">
        <v>472</v>
      </c>
    </row>
    <row r="132" spans="1:14" s="4" customFormat="1" ht="13.2" x14ac:dyDescent="0.25">
      <c r="A132" s="7" t="s">
        <v>473</v>
      </c>
      <c r="B132" s="7" t="s">
        <v>474</v>
      </c>
      <c r="C132" s="7" t="s">
        <v>475</v>
      </c>
      <c r="D132" s="6"/>
      <c r="E132" s="7" t="s">
        <v>476</v>
      </c>
      <c r="F132" s="7" t="s">
        <v>474</v>
      </c>
      <c r="G132" s="6"/>
      <c r="H132" s="6" t="str">
        <f>_xll.BDP($A132,"IPO_OFFER_PX_TO_LAST_CLOSE_%_CHG",$A$1,$A$2)</f>
        <v>#N/A N/A</v>
      </c>
      <c r="I132" s="6">
        <f>_xll.BDP($A132,"IPO_OFFER_PX_TO_1ST_OPEN_%_CHG",$A$1,$A$2)</f>
        <v>125</v>
      </c>
      <c r="J132" s="6">
        <v>20</v>
      </c>
      <c r="K132" s="6">
        <v>4750000</v>
      </c>
      <c r="L132" s="7"/>
      <c r="M132" s="7"/>
      <c r="N132" s="7"/>
    </row>
    <row r="133" spans="1:14" s="4" customFormat="1" ht="13.2" x14ac:dyDescent="0.25">
      <c r="A133" s="7" t="s">
        <v>477</v>
      </c>
      <c r="B133" s="7" t="s">
        <v>478</v>
      </c>
      <c r="C133" s="7" t="s">
        <v>475</v>
      </c>
      <c r="D133" s="6"/>
      <c r="E133" s="7" t="s">
        <v>479</v>
      </c>
      <c r="F133" s="7" t="s">
        <v>478</v>
      </c>
      <c r="G133" s="6"/>
      <c r="H133" s="6" t="str">
        <f>_xll.BDP($A133,"IPO_OFFER_PX_TO_LAST_CLOSE_%_CHG",$A$1,$A$2)</f>
        <v>#N/A N/A</v>
      </c>
      <c r="I133" s="6">
        <f>_xll.BDP($A133,"IPO_OFFER_PX_TO_1ST_OPEN_%_CHG",$A$1,$A$2)</f>
        <v>12.5</v>
      </c>
      <c r="J133" s="6">
        <v>12</v>
      </c>
      <c r="K133" s="6">
        <v>7500000</v>
      </c>
      <c r="L133" s="7"/>
      <c r="M133" s="7"/>
      <c r="N133" s="7"/>
    </row>
    <row r="134" spans="1:14" s="4" customFormat="1" ht="13.2" x14ac:dyDescent="0.25">
      <c r="A134" s="7" t="s">
        <v>480</v>
      </c>
      <c r="B134" s="7" t="s">
        <v>481</v>
      </c>
      <c r="C134" s="7" t="s">
        <v>475</v>
      </c>
      <c r="D134" s="6"/>
      <c r="E134" s="7" t="s">
        <v>482</v>
      </c>
      <c r="F134" s="7" t="s">
        <v>481</v>
      </c>
      <c r="G134" s="6"/>
      <c r="H134" s="6" t="str">
        <f>_xll.BDP($A134,"IPO_OFFER_PX_TO_LAST_CLOSE_%_CHG",$A$1,$A$2)</f>
        <v>#N/A N/A</v>
      </c>
      <c r="I134" s="6">
        <f>_xll.BDP($A134,"IPO_OFFER_PX_TO_1ST_OPEN_%_CHG",$A$1,$A$2)</f>
        <v>-2.5</v>
      </c>
      <c r="J134" s="6">
        <v>10</v>
      </c>
      <c r="K134" s="6">
        <v>5000000</v>
      </c>
      <c r="L134" s="7"/>
      <c r="M134" s="7"/>
      <c r="N134" s="7"/>
    </row>
    <row r="135" spans="1:14" s="4" customFormat="1" ht="13.2" x14ac:dyDescent="0.25">
      <c r="A135" s="7" t="s">
        <v>483</v>
      </c>
      <c r="B135" s="7" t="s">
        <v>484</v>
      </c>
      <c r="C135" s="7" t="s">
        <v>475</v>
      </c>
      <c r="D135" s="6"/>
      <c r="E135" s="7" t="s">
        <v>485</v>
      </c>
      <c r="F135" s="7" t="s">
        <v>484</v>
      </c>
      <c r="G135" s="6"/>
      <c r="H135" s="6" t="str">
        <f>_xll.BDP($A135,"IPO_OFFER_PX_TO_LAST_CLOSE_%_CHG",$A$1,$A$2)</f>
        <v>#N/A N/A</v>
      </c>
      <c r="I135" s="6">
        <f>_xll.BDP($A135,"IPO_OFFER_PX_TO_1ST_OPEN_%_CHG",$A$1,$A$2)</f>
        <v>0.52083330000000005</v>
      </c>
      <c r="J135" s="6">
        <v>12</v>
      </c>
      <c r="K135" s="6">
        <v>3750000</v>
      </c>
      <c r="L135" s="7"/>
      <c r="M135" s="7"/>
      <c r="N135" s="7"/>
    </row>
    <row r="136" spans="1:14" s="4" customFormat="1" ht="13.2" x14ac:dyDescent="0.25">
      <c r="A136" s="7" t="s">
        <v>486</v>
      </c>
      <c r="B136" s="7" t="s">
        <v>487</v>
      </c>
      <c r="C136" s="7" t="s">
        <v>475</v>
      </c>
      <c r="D136" s="6"/>
      <c r="E136" s="7" t="s">
        <v>488</v>
      </c>
      <c r="F136" s="7" t="s">
        <v>487</v>
      </c>
      <c r="G136" s="6"/>
      <c r="H136" s="6" t="str">
        <f>_xll.BDP($A136,"IPO_OFFER_PX_TO_LAST_CLOSE_%_CHG",$A$1,$A$2)</f>
        <v>#N/A N/A</v>
      </c>
      <c r="I136" s="6">
        <f>_xll.BDP($A136,"IPO_OFFER_PX_TO_1ST_OPEN_%_CHG",$A$1,$A$2)</f>
        <v>8.9285720000000008</v>
      </c>
      <c r="J136" s="6">
        <v>7</v>
      </c>
      <c r="K136" s="6">
        <v>5000000</v>
      </c>
      <c r="L136" s="7"/>
      <c r="M136" s="7"/>
      <c r="N136" s="7"/>
    </row>
    <row r="137" spans="1:14" s="4" customFormat="1" ht="13.2" x14ac:dyDescent="0.25">
      <c r="A137" s="7" t="s">
        <v>489</v>
      </c>
      <c r="B137" s="7" t="s">
        <v>490</v>
      </c>
      <c r="C137" s="7" t="s">
        <v>475</v>
      </c>
      <c r="D137" s="6"/>
      <c r="E137" s="7" t="s">
        <v>491</v>
      </c>
      <c r="F137" s="7" t="s">
        <v>490</v>
      </c>
      <c r="G137" s="6"/>
      <c r="H137" s="6" t="str">
        <f>_xll.BDP($A137,"IPO_OFFER_PX_TO_LAST_CLOSE_%_CHG",$A$1,$A$2)</f>
        <v>#N/A N/A</v>
      </c>
      <c r="I137" s="6">
        <f>_xll.BDP($A137,"IPO_OFFER_PX_TO_1ST_OPEN_%_CHG",$A$1,$A$2)</f>
        <v>6.6666670000000003</v>
      </c>
      <c r="J137" s="6">
        <v>7.5</v>
      </c>
      <c r="K137" s="6">
        <v>3000000</v>
      </c>
      <c r="L137" s="7"/>
      <c r="M137" s="7"/>
      <c r="N137" s="7"/>
    </row>
    <row r="138" spans="1:14" s="4" customFormat="1" ht="13.2" x14ac:dyDescent="0.25">
      <c r="A138" s="7" t="s">
        <v>492</v>
      </c>
      <c r="B138" s="7" t="s">
        <v>493</v>
      </c>
      <c r="C138" s="7" t="s">
        <v>494</v>
      </c>
      <c r="D138" s="6">
        <v>184.68</v>
      </c>
      <c r="E138" s="7" t="s">
        <v>495</v>
      </c>
      <c r="F138" s="7" t="s">
        <v>493</v>
      </c>
      <c r="G138" s="6">
        <v>27942084000.000004</v>
      </c>
      <c r="H138" s="6">
        <f>_xll.BDP($A138,"IPO_OFFER_PX_TO_LAST_CLOSE_%_CHG",$A$1,$A$2)</f>
        <v>2275.4059999999999</v>
      </c>
      <c r="I138" s="6">
        <f>_xll.BDP($A138,"IPO_OFFER_PX_TO_1ST_OPEN_%_CHG",$A$1,$A$2)</f>
        <v>86.71875</v>
      </c>
      <c r="J138" s="6">
        <v>16</v>
      </c>
      <c r="K138" s="6">
        <v>6000000</v>
      </c>
      <c r="L138" s="7" t="s">
        <v>52</v>
      </c>
      <c r="M138" s="7" t="s">
        <v>53</v>
      </c>
      <c r="N138" s="7" t="s">
        <v>53</v>
      </c>
    </row>
    <row r="139" spans="1:14" s="4" customFormat="1" ht="13.2" x14ac:dyDescent="0.25">
      <c r="A139" s="7" t="s">
        <v>496</v>
      </c>
      <c r="B139" s="7" t="s">
        <v>497</v>
      </c>
      <c r="C139" s="7" t="s">
        <v>494</v>
      </c>
      <c r="D139" s="6"/>
      <c r="E139" s="7" t="s">
        <v>498</v>
      </c>
      <c r="F139" s="7" t="s">
        <v>497</v>
      </c>
      <c r="G139" s="6"/>
      <c r="H139" s="6" t="str">
        <f>_xll.BDP($A139,"IPO_OFFER_PX_TO_LAST_CLOSE_%_CHG",$A$1,$A$2)</f>
        <v>#N/A N/A</v>
      </c>
      <c r="I139" s="6" t="str">
        <f>_xll.BDP($A139,"IPO_OFFER_PX_TO_1ST_OPEN_%_CHG",$A$1,$A$2)</f>
        <v>#N/A N/A</v>
      </c>
      <c r="J139" s="6">
        <v>36</v>
      </c>
      <c r="K139" s="6">
        <v>31625000</v>
      </c>
      <c r="L139" s="7"/>
      <c r="M139" s="7"/>
      <c r="N139" s="7"/>
    </row>
    <row r="140" spans="1:14" s="4" customFormat="1" ht="13.2" x14ac:dyDescent="0.25">
      <c r="A140" s="7" t="s">
        <v>499</v>
      </c>
      <c r="B140" s="7" t="s">
        <v>500</v>
      </c>
      <c r="C140" s="7" t="s">
        <v>494</v>
      </c>
      <c r="D140" s="6"/>
      <c r="E140" s="7" t="s">
        <v>501</v>
      </c>
      <c r="F140" s="7" t="s">
        <v>500</v>
      </c>
      <c r="G140" s="6"/>
      <c r="H140" s="6" t="str">
        <f>_xll.BDP($A140,"IPO_OFFER_PX_TO_LAST_CLOSE_%_CHG",$A$1,$A$2)</f>
        <v>#N/A N/A</v>
      </c>
      <c r="I140" s="6">
        <f>_xll.BDP($A140,"IPO_OFFER_PX_TO_1ST_OPEN_%_CHG",$A$1,$A$2)</f>
        <v>33.333329999999997</v>
      </c>
      <c r="J140" s="6">
        <v>15</v>
      </c>
      <c r="K140" s="6">
        <v>6000000</v>
      </c>
      <c r="L140" s="7"/>
      <c r="M140" s="7"/>
      <c r="N140" s="7"/>
    </row>
    <row r="141" spans="1:14" s="4" customFormat="1" ht="13.2" x14ac:dyDescent="0.25">
      <c r="A141" s="7" t="s">
        <v>502</v>
      </c>
      <c r="B141" s="7" t="s">
        <v>503</v>
      </c>
      <c r="C141" s="7" t="s">
        <v>494</v>
      </c>
      <c r="D141" s="6"/>
      <c r="E141" s="7" t="s">
        <v>504</v>
      </c>
      <c r="F141" s="7" t="s">
        <v>503</v>
      </c>
      <c r="G141" s="6"/>
      <c r="H141" s="6" t="str">
        <f>_xll.BDP($A141,"IPO_OFFER_PX_TO_LAST_CLOSE_%_CHG",$A$1,$A$2)</f>
        <v>#N/A N/A</v>
      </c>
      <c r="I141" s="6">
        <f>_xll.BDP($A141,"IPO_OFFER_PX_TO_1ST_OPEN_%_CHG",$A$1,$A$2)</f>
        <v>190.32259999999999</v>
      </c>
      <c r="J141" s="6">
        <v>31</v>
      </c>
      <c r="K141" s="6">
        <v>7000000</v>
      </c>
      <c r="L141" s="7"/>
      <c r="M141" s="7"/>
      <c r="N141" s="7"/>
    </row>
    <row r="142" spans="1:14" s="4" customFormat="1" ht="13.2" x14ac:dyDescent="0.25">
      <c r="A142" s="7" t="s">
        <v>505</v>
      </c>
      <c r="B142" s="7" t="s">
        <v>506</v>
      </c>
      <c r="C142" s="7" t="s">
        <v>494</v>
      </c>
      <c r="D142" s="6"/>
      <c r="E142" s="7" t="s">
        <v>507</v>
      </c>
      <c r="F142" s="7" t="s">
        <v>506</v>
      </c>
      <c r="G142" s="6"/>
      <c r="H142" s="6" t="str">
        <f>_xll.BDP($A142,"IPO_OFFER_PX_TO_LAST_CLOSE_%_CHG",$A$1,$A$2)</f>
        <v>#N/A N/A</v>
      </c>
      <c r="I142" s="6">
        <f>_xll.BDP($A142,"IPO_OFFER_PX_TO_1ST_OPEN_%_CHG",$A$1,$A$2)</f>
        <v>25</v>
      </c>
      <c r="J142" s="6">
        <v>18</v>
      </c>
      <c r="K142" s="6">
        <v>7000000</v>
      </c>
      <c r="L142" s="7"/>
      <c r="M142" s="7"/>
      <c r="N142" s="7"/>
    </row>
    <row r="143" spans="1:14" s="4" customFormat="1" ht="13.2" x14ac:dyDescent="0.25">
      <c r="A143" s="7" t="s">
        <v>508</v>
      </c>
      <c r="B143" s="7" t="s">
        <v>509</v>
      </c>
      <c r="C143" s="7" t="s">
        <v>494</v>
      </c>
      <c r="D143" s="6"/>
      <c r="E143" s="7" t="s">
        <v>510</v>
      </c>
      <c r="F143" s="7" t="s">
        <v>509</v>
      </c>
      <c r="G143" s="6"/>
      <c r="H143" s="6" t="str">
        <f>_xll.BDP($A143,"IPO_OFFER_PX_TO_LAST_CLOSE_%_CHG",$A$1,$A$2)</f>
        <v>#N/A N/A</v>
      </c>
      <c r="I143" s="6">
        <f>_xll.BDP($A143,"IPO_OFFER_PX_TO_1ST_OPEN_%_CHG",$A$1,$A$2)</f>
        <v>0</v>
      </c>
      <c r="J143" s="6">
        <v>10</v>
      </c>
      <c r="K143" s="6">
        <v>4000000</v>
      </c>
      <c r="L143" s="7"/>
      <c r="M143" s="7"/>
      <c r="N143" s="7"/>
    </row>
    <row r="144" spans="1:14" s="4" customFormat="1" ht="13.2" x14ac:dyDescent="0.25">
      <c r="A144" s="7" t="s">
        <v>511</v>
      </c>
      <c r="B144" s="7" t="s">
        <v>512</v>
      </c>
      <c r="C144" s="7" t="s">
        <v>494</v>
      </c>
      <c r="D144" s="6"/>
      <c r="E144" s="7" t="s">
        <v>513</v>
      </c>
      <c r="F144" s="7" t="s">
        <v>512</v>
      </c>
      <c r="G144" s="6"/>
      <c r="H144" s="6" t="str">
        <f>_xll.BDP($A144,"IPO_OFFER_PX_TO_LAST_CLOSE_%_CHG",$A$1,$A$2)</f>
        <v>#N/A N/A</v>
      </c>
      <c r="I144" s="6">
        <f>_xll.BDP($A144,"IPO_OFFER_PX_TO_1ST_OPEN_%_CHG",$A$1,$A$2)</f>
        <v>33.333329999999997</v>
      </c>
      <c r="J144" s="6">
        <v>18</v>
      </c>
      <c r="K144" s="6">
        <v>6000000</v>
      </c>
      <c r="L144" s="7"/>
      <c r="M144" s="7"/>
      <c r="N144" s="7"/>
    </row>
    <row r="145" spans="1:14" s="4" customFormat="1" ht="13.2" x14ac:dyDescent="0.25">
      <c r="A145" s="7" t="s">
        <v>514</v>
      </c>
      <c r="B145" s="7" t="s">
        <v>515</v>
      </c>
      <c r="C145" s="7" t="s">
        <v>494</v>
      </c>
      <c r="D145" s="6"/>
      <c r="E145" s="7" t="s">
        <v>516</v>
      </c>
      <c r="F145" s="7" t="s">
        <v>515</v>
      </c>
      <c r="G145" s="6"/>
      <c r="H145" s="6" t="str">
        <f>_xll.BDP($A145,"IPO_OFFER_PX_TO_LAST_CLOSE_%_CHG",$A$1,$A$2)</f>
        <v>#N/A N/A</v>
      </c>
      <c r="I145" s="6">
        <f>_xll.BDP($A145,"IPO_OFFER_PX_TO_1ST_OPEN_%_CHG",$A$1,$A$2)</f>
        <v>28.571429999999999</v>
      </c>
      <c r="J145" s="6">
        <v>14</v>
      </c>
      <c r="K145" s="6">
        <v>3500000</v>
      </c>
      <c r="L145" s="7"/>
      <c r="M145" s="7"/>
      <c r="N145" s="7"/>
    </row>
    <row r="146" spans="1:14" s="4" customFormat="1" ht="13.2" x14ac:dyDescent="0.25">
      <c r="A146" s="7" t="s">
        <v>517</v>
      </c>
      <c r="B146" s="7" t="s">
        <v>518</v>
      </c>
      <c r="C146" s="7" t="s">
        <v>494</v>
      </c>
      <c r="D146" s="6"/>
      <c r="E146" s="7" t="s">
        <v>519</v>
      </c>
      <c r="F146" s="7" t="s">
        <v>518</v>
      </c>
      <c r="G146" s="6"/>
      <c r="H146" s="6" t="str">
        <f>_xll.BDP($A146,"IPO_OFFER_PX_TO_LAST_CLOSE_%_CHG",$A$1,$A$2)</f>
        <v>#N/A N/A</v>
      </c>
      <c r="I146" s="6">
        <f>_xll.BDP($A146,"IPO_OFFER_PX_TO_1ST_OPEN_%_CHG",$A$1,$A$2)</f>
        <v>-5</v>
      </c>
      <c r="J146" s="6">
        <v>10</v>
      </c>
      <c r="K146" s="6">
        <v>4600000</v>
      </c>
      <c r="L146" s="7"/>
      <c r="M146" s="7"/>
      <c r="N146" s="7"/>
    </row>
    <row r="147" spans="1:14" s="4" customFormat="1" ht="13.2" x14ac:dyDescent="0.25">
      <c r="A147" s="7" t="s">
        <v>520</v>
      </c>
      <c r="B147" s="7" t="s">
        <v>521</v>
      </c>
      <c r="C147" s="7" t="s">
        <v>522</v>
      </c>
      <c r="D147" s="6">
        <v>9.9999999747524271E-7</v>
      </c>
      <c r="E147" s="7" t="s">
        <v>523</v>
      </c>
      <c r="F147" s="7" t="s">
        <v>521</v>
      </c>
      <c r="G147" s="6"/>
      <c r="H147" s="6">
        <f>_xll.BDP($A147,"IPO_OFFER_PX_TO_LAST_CLOSE_%_CHG",$A$1,$A$2)</f>
        <v>-100</v>
      </c>
      <c r="I147" s="6">
        <f>_xll.BDP($A147,"IPO_OFFER_PX_TO_1ST_OPEN_%_CHG",$A$1,$A$2)</f>
        <v>0</v>
      </c>
      <c r="J147" s="6">
        <v>18</v>
      </c>
      <c r="K147" s="6">
        <v>5000000</v>
      </c>
      <c r="L147" s="7" t="s">
        <v>52</v>
      </c>
      <c r="M147" s="7" t="s">
        <v>58</v>
      </c>
      <c r="N147" s="7" t="s">
        <v>58</v>
      </c>
    </row>
    <row r="148" spans="1:14" s="4" customFormat="1" ht="13.2" x14ac:dyDescent="0.25">
      <c r="A148" s="7" t="s">
        <v>524</v>
      </c>
      <c r="B148" s="7" t="s">
        <v>525</v>
      </c>
      <c r="C148" s="7" t="s">
        <v>522</v>
      </c>
      <c r="D148" s="6"/>
      <c r="E148" s="7" t="s">
        <v>526</v>
      </c>
      <c r="F148" s="7" t="s">
        <v>525</v>
      </c>
      <c r="G148" s="6"/>
      <c r="H148" s="6" t="str">
        <f>_xll.BDP($A148,"IPO_OFFER_PX_TO_LAST_CLOSE_%_CHG",$A$1,$A$2)</f>
        <v>#N/A N/A</v>
      </c>
      <c r="I148" s="6">
        <f>_xll.BDP($A148,"IPO_OFFER_PX_TO_1ST_OPEN_%_CHG",$A$1,$A$2)</f>
        <v>8.8541670000000003</v>
      </c>
      <c r="J148" s="6">
        <v>12</v>
      </c>
      <c r="K148" s="6">
        <v>3600000</v>
      </c>
      <c r="L148" s="7"/>
      <c r="M148" s="7"/>
      <c r="N148" s="7"/>
    </row>
    <row r="149" spans="1:14" s="4" customFormat="1" ht="13.2" x14ac:dyDescent="0.25">
      <c r="A149" s="7" t="s">
        <v>527</v>
      </c>
      <c r="B149" s="7" t="s">
        <v>528</v>
      </c>
      <c r="C149" s="7" t="s">
        <v>522</v>
      </c>
      <c r="D149" s="6"/>
      <c r="E149" s="7" t="s">
        <v>529</v>
      </c>
      <c r="F149" s="7" t="s">
        <v>528</v>
      </c>
      <c r="G149" s="6"/>
      <c r="H149" s="6" t="str">
        <f>_xll.BDP($A149,"IPO_OFFER_PX_TO_LAST_CLOSE_%_CHG",$A$1,$A$2)</f>
        <v>#N/A N/A</v>
      </c>
      <c r="I149" s="6">
        <f>_xll.BDP($A149,"IPO_OFFER_PX_TO_1ST_OPEN_%_CHG",$A$1,$A$2)</f>
        <v>31.578949999999999</v>
      </c>
      <c r="J149" s="6">
        <v>19</v>
      </c>
      <c r="K149" s="6">
        <v>4650000</v>
      </c>
      <c r="L149" s="7"/>
      <c r="M149" s="7"/>
      <c r="N149" s="7"/>
    </row>
    <row r="150" spans="1:14" s="4" customFormat="1" ht="13.2" x14ac:dyDescent="0.25">
      <c r="A150" s="7" t="s">
        <v>530</v>
      </c>
      <c r="B150" s="7" t="s">
        <v>531</v>
      </c>
      <c r="C150" s="7" t="s">
        <v>532</v>
      </c>
      <c r="D150" s="6"/>
      <c r="E150" s="7" t="s">
        <v>533</v>
      </c>
      <c r="F150" s="7" t="s">
        <v>531</v>
      </c>
      <c r="G150" s="6"/>
      <c r="H150" s="6" t="str">
        <f>_xll.BDP($A150,"IPO_OFFER_PX_TO_LAST_CLOSE_%_CHG",$A$1,$A$2)</f>
        <v>#N/A N/A</v>
      </c>
      <c r="I150" s="6" t="str">
        <f>_xll.BDP($A150,"IPO_OFFER_PX_TO_1ST_OPEN_%_CHG",$A$1,$A$2)</f>
        <v>#N/A N/A</v>
      </c>
      <c r="J150" s="6">
        <v>12</v>
      </c>
      <c r="K150" s="6">
        <v>4000000</v>
      </c>
      <c r="L150" s="7"/>
      <c r="M150" s="7"/>
      <c r="N150" s="7"/>
    </row>
    <row r="151" spans="1:14" s="4" customFormat="1" ht="13.2" x14ac:dyDescent="0.25">
      <c r="A151" s="7" t="s">
        <v>534</v>
      </c>
      <c r="B151" s="7" t="s">
        <v>535</v>
      </c>
      <c r="C151" s="7" t="s">
        <v>536</v>
      </c>
      <c r="D151" s="6"/>
      <c r="E151" s="7" t="s">
        <v>537</v>
      </c>
      <c r="F151" s="7" t="s">
        <v>535</v>
      </c>
      <c r="G151" s="6"/>
      <c r="H151" s="6" t="str">
        <f>_xll.BDP($A151,"IPO_OFFER_PX_TO_LAST_CLOSE_%_CHG",$A$1,$A$2)</f>
        <v>#N/A N/A</v>
      </c>
      <c r="I151" s="6">
        <f>_xll.BDP($A151,"IPO_OFFER_PX_TO_1ST_OPEN_%_CHG",$A$1,$A$2)</f>
        <v>115</v>
      </c>
      <c r="J151" s="6">
        <v>20</v>
      </c>
      <c r="K151" s="6">
        <v>7500000</v>
      </c>
      <c r="L151" s="7"/>
      <c r="M151" s="7"/>
      <c r="N151" s="7"/>
    </row>
    <row r="152" spans="1:14" s="4" customFormat="1" ht="13.2" x14ac:dyDescent="0.25">
      <c r="A152" s="7" t="s">
        <v>538</v>
      </c>
      <c r="B152" s="7" t="s">
        <v>539</v>
      </c>
      <c r="C152" s="7" t="s">
        <v>536</v>
      </c>
      <c r="D152" s="6"/>
      <c r="E152" s="7" t="s">
        <v>540</v>
      </c>
      <c r="F152" s="7" t="s">
        <v>539</v>
      </c>
      <c r="G152" s="6"/>
      <c r="H152" s="6" t="str">
        <f>_xll.BDP($A152,"IPO_OFFER_PX_TO_LAST_CLOSE_%_CHG",$A$1,$A$2)</f>
        <v>#N/A N/A</v>
      </c>
      <c r="I152" s="6">
        <f>_xll.BDP($A152,"IPO_OFFER_PX_TO_1ST_OPEN_%_CHG",$A$1,$A$2)</f>
        <v>-1.5625</v>
      </c>
      <c r="J152" s="6">
        <v>8</v>
      </c>
      <c r="K152" s="6">
        <v>7000000</v>
      </c>
      <c r="L152" s="7"/>
      <c r="M152" s="7"/>
      <c r="N152" s="7"/>
    </row>
    <row r="153" spans="1:14" s="4" customFormat="1" ht="13.2" x14ac:dyDescent="0.25">
      <c r="A153" s="7" t="s">
        <v>541</v>
      </c>
      <c r="B153" s="7" t="s">
        <v>542</v>
      </c>
      <c r="C153" s="7" t="s">
        <v>536</v>
      </c>
      <c r="D153" s="6"/>
      <c r="E153" s="7" t="s">
        <v>543</v>
      </c>
      <c r="F153" s="7" t="s">
        <v>542</v>
      </c>
      <c r="G153" s="6"/>
      <c r="H153" s="6" t="str">
        <f>_xll.BDP($A153,"IPO_OFFER_PX_TO_LAST_CLOSE_%_CHG",$A$1,$A$2)</f>
        <v>#N/A N/A</v>
      </c>
      <c r="I153" s="6">
        <f>_xll.BDP($A153,"IPO_OFFER_PX_TO_1ST_OPEN_%_CHG",$A$1,$A$2)</f>
        <v>-10.41667</v>
      </c>
      <c r="J153" s="6">
        <v>12</v>
      </c>
      <c r="K153" s="6">
        <v>5000000</v>
      </c>
      <c r="L153" s="7"/>
      <c r="M153" s="7"/>
      <c r="N153" s="7"/>
    </row>
    <row r="154" spans="1:14" s="4" customFormat="1" ht="13.2" x14ac:dyDescent="0.25">
      <c r="A154" s="7" t="s">
        <v>544</v>
      </c>
      <c r="B154" s="7" t="s">
        <v>545</v>
      </c>
      <c r="C154" s="7" t="s">
        <v>546</v>
      </c>
      <c r="D154" s="6"/>
      <c r="E154" s="7" t="s">
        <v>547</v>
      </c>
      <c r="F154" s="7" t="s">
        <v>545</v>
      </c>
      <c r="G154" s="6"/>
      <c r="H154" s="6" t="str">
        <f>_xll.BDP($A154,"IPO_OFFER_PX_TO_LAST_CLOSE_%_CHG",$A$1,$A$2)</f>
        <v>#N/A N/A</v>
      </c>
      <c r="I154" s="6">
        <f>_xll.BDP($A154,"IPO_OFFER_PX_TO_1ST_OPEN_%_CHG",$A$1,$A$2)</f>
        <v>31.25</v>
      </c>
      <c r="J154" s="6">
        <v>16</v>
      </c>
      <c r="K154" s="6">
        <v>11000000</v>
      </c>
      <c r="L154" s="7"/>
      <c r="M154" s="7"/>
      <c r="N154" s="7"/>
    </row>
    <row r="155" spans="1:14" s="4" customFormat="1" ht="13.2" x14ac:dyDescent="0.25">
      <c r="A155" s="7" t="s">
        <v>548</v>
      </c>
      <c r="B155" s="7" t="s">
        <v>549</v>
      </c>
      <c r="C155" s="7" t="s">
        <v>546</v>
      </c>
      <c r="D155" s="6"/>
      <c r="E155" s="7" t="s">
        <v>550</v>
      </c>
      <c r="F155" s="7" t="s">
        <v>549</v>
      </c>
      <c r="G155" s="6"/>
      <c r="H155" s="6" t="str">
        <f>_xll.BDP($A155,"IPO_OFFER_PX_TO_LAST_CLOSE_%_CHG",$A$1,$A$2)</f>
        <v>#N/A N/A</v>
      </c>
      <c r="I155" s="6">
        <f>_xll.BDP($A155,"IPO_OFFER_PX_TO_1ST_OPEN_%_CHG",$A$1,$A$2)</f>
        <v>62.5</v>
      </c>
      <c r="J155" s="6">
        <v>14</v>
      </c>
      <c r="K155" s="6">
        <v>5000000</v>
      </c>
      <c r="L155" s="7"/>
      <c r="M155" s="7"/>
      <c r="N155" s="7"/>
    </row>
    <row r="156" spans="1:14" s="4" customFormat="1" ht="13.2" x14ac:dyDescent="0.25">
      <c r="A156" s="7" t="s">
        <v>551</v>
      </c>
      <c r="B156" s="7" t="s">
        <v>552</v>
      </c>
      <c r="C156" s="7" t="s">
        <v>546</v>
      </c>
      <c r="D156" s="6"/>
      <c r="E156" s="7" t="s">
        <v>553</v>
      </c>
      <c r="F156" s="7" t="s">
        <v>552</v>
      </c>
      <c r="G156" s="6"/>
      <c r="H156" s="6" t="str">
        <f>_xll.BDP($A156,"IPO_OFFER_PX_TO_LAST_CLOSE_%_CHG",$A$1,$A$2)</f>
        <v>#N/A N/A</v>
      </c>
      <c r="I156" s="6">
        <f>_xll.BDP($A156,"IPO_OFFER_PX_TO_1ST_OPEN_%_CHG",$A$1,$A$2)</f>
        <v>61.71875</v>
      </c>
      <c r="J156" s="6">
        <v>16</v>
      </c>
      <c r="K156" s="6">
        <v>4200000</v>
      </c>
      <c r="L156" s="7"/>
      <c r="M156" s="7"/>
      <c r="N156" s="7"/>
    </row>
    <row r="157" spans="1:14" s="4" customFormat="1" ht="13.2" x14ac:dyDescent="0.25">
      <c r="A157" s="7" t="s">
        <v>554</v>
      </c>
      <c r="B157" s="7" t="s">
        <v>555</v>
      </c>
      <c r="C157" s="7" t="s">
        <v>556</v>
      </c>
      <c r="D157" s="6"/>
      <c r="E157" s="7" t="s">
        <v>557</v>
      </c>
      <c r="F157" s="7" t="s">
        <v>555</v>
      </c>
      <c r="G157" s="6"/>
      <c r="H157" s="6" t="str">
        <f>_xll.BDP($A157,"IPO_OFFER_PX_TO_LAST_CLOSE_%_CHG",$A$1,$A$2)</f>
        <v>#N/A N/A</v>
      </c>
      <c r="I157" s="6">
        <f>_xll.BDP($A157,"IPO_OFFER_PX_TO_1ST_OPEN_%_CHG",$A$1,$A$2)</f>
        <v>53.571429999999999</v>
      </c>
      <c r="J157" s="6">
        <v>14</v>
      </c>
      <c r="K157" s="6">
        <v>10000000</v>
      </c>
      <c r="L157" s="7"/>
      <c r="M157" s="7"/>
      <c r="N157" s="7"/>
    </row>
    <row r="158" spans="1:14" s="4" customFormat="1" ht="13.2" x14ac:dyDescent="0.25">
      <c r="A158" s="7" t="s">
        <v>558</v>
      </c>
      <c r="B158" s="7" t="s">
        <v>559</v>
      </c>
      <c r="C158" s="7" t="s">
        <v>556</v>
      </c>
      <c r="D158" s="6"/>
      <c r="E158" s="7" t="s">
        <v>560</v>
      </c>
      <c r="F158" s="7" t="s">
        <v>559</v>
      </c>
      <c r="G158" s="6"/>
      <c r="H158" s="6" t="str">
        <f>_xll.BDP($A158,"IPO_OFFER_PX_TO_LAST_CLOSE_%_CHG",$A$1,$A$2)</f>
        <v>#N/A N/A</v>
      </c>
      <c r="I158" s="6">
        <f>_xll.BDP($A158,"IPO_OFFER_PX_TO_1ST_OPEN_%_CHG",$A$1,$A$2)</f>
        <v>176.66669999999999</v>
      </c>
      <c r="J158" s="6">
        <v>15</v>
      </c>
      <c r="K158" s="6">
        <v>5500000</v>
      </c>
      <c r="L158" s="7"/>
      <c r="M158" s="7"/>
      <c r="N158" s="7"/>
    </row>
    <row r="159" spans="1:14" s="4" customFormat="1" ht="13.2" x14ac:dyDescent="0.25">
      <c r="A159" s="7" t="s">
        <v>561</v>
      </c>
      <c r="B159" s="7" t="s">
        <v>562</v>
      </c>
      <c r="C159" s="7" t="s">
        <v>563</v>
      </c>
      <c r="D159" s="6"/>
      <c r="E159" s="7" t="s">
        <v>564</v>
      </c>
      <c r="F159" s="7" t="s">
        <v>562</v>
      </c>
      <c r="G159" s="6"/>
      <c r="H159" s="6" t="str">
        <f>_xll.BDP($A159,"IPO_OFFER_PX_TO_LAST_CLOSE_%_CHG",$A$1,$A$2)</f>
        <v>#N/A N/A</v>
      </c>
      <c r="I159" s="6">
        <f>_xll.BDP($A159,"IPO_OFFER_PX_TO_1ST_OPEN_%_CHG",$A$1,$A$2)</f>
        <v>82.142859999999999</v>
      </c>
      <c r="J159" s="6">
        <v>14</v>
      </c>
      <c r="K159" s="6">
        <v>4250000</v>
      </c>
      <c r="L159" s="7"/>
      <c r="M159" s="7"/>
      <c r="N159" s="7"/>
    </row>
    <row r="160" spans="1:14" s="4" customFormat="1" ht="13.2" x14ac:dyDescent="0.25">
      <c r="A160" s="7" t="s">
        <v>565</v>
      </c>
      <c r="B160" s="7" t="s">
        <v>566</v>
      </c>
      <c r="C160" s="7" t="s">
        <v>563</v>
      </c>
      <c r="D160" s="6"/>
      <c r="E160" s="7" t="s">
        <v>567</v>
      </c>
      <c r="F160" s="7" t="s">
        <v>566</v>
      </c>
      <c r="G160" s="6"/>
      <c r="H160" s="6" t="str">
        <f>_xll.BDP($A160,"IPO_OFFER_PX_TO_LAST_CLOSE_%_CHG",$A$1,$A$2)</f>
        <v>#N/A N/A</v>
      </c>
      <c r="I160" s="6">
        <f>_xll.BDP($A160,"IPO_OFFER_PX_TO_1ST_OPEN_%_CHG",$A$1,$A$2)</f>
        <v>66.666659999999993</v>
      </c>
      <c r="J160" s="6">
        <v>15</v>
      </c>
      <c r="K160" s="6">
        <v>4600000</v>
      </c>
      <c r="L160" s="7"/>
      <c r="M160" s="7"/>
      <c r="N160" s="7"/>
    </row>
    <row r="161" spans="1:14" s="4" customFormat="1" ht="13.2" x14ac:dyDescent="0.25">
      <c r="A161" s="7" t="s">
        <v>568</v>
      </c>
      <c r="B161" s="7" t="s">
        <v>569</v>
      </c>
      <c r="C161" s="7" t="s">
        <v>563</v>
      </c>
      <c r="D161" s="6"/>
      <c r="E161" s="7" t="s">
        <v>570</v>
      </c>
      <c r="F161" s="7" t="s">
        <v>569</v>
      </c>
      <c r="G161" s="6"/>
      <c r="H161" s="6" t="str">
        <f>_xll.BDP($A161,"IPO_OFFER_PX_TO_LAST_CLOSE_%_CHG",$A$1,$A$2)</f>
        <v>#N/A N/A</v>
      </c>
      <c r="I161" s="6">
        <f>_xll.BDP($A161,"IPO_OFFER_PX_TO_1ST_OPEN_%_CHG",$A$1,$A$2)</f>
        <v>33.333329999999997</v>
      </c>
      <c r="J161" s="6">
        <v>12</v>
      </c>
      <c r="K161" s="6">
        <v>3500000</v>
      </c>
      <c r="L161" s="7"/>
      <c r="M161" s="7"/>
      <c r="N161" s="7"/>
    </row>
    <row r="162" spans="1:14" s="4" customFormat="1" ht="13.2" x14ac:dyDescent="0.25">
      <c r="A162" s="7" t="s">
        <v>571</v>
      </c>
      <c r="B162" s="7" t="s">
        <v>572</v>
      </c>
      <c r="C162" s="7" t="s">
        <v>573</v>
      </c>
      <c r="D162" s="6">
        <v>23.4</v>
      </c>
      <c r="E162" s="7" t="s">
        <v>574</v>
      </c>
      <c r="F162" s="7" t="s">
        <v>572</v>
      </c>
      <c r="G162" s="6">
        <v>41824504.799999997</v>
      </c>
      <c r="H162" s="6">
        <f>_xll.BDP($A162,"IPO_OFFER_PX_TO_LAST_CLOSE_%_CHG",$A$1,$A$2)</f>
        <v>-99.998559999999998</v>
      </c>
      <c r="I162" s="6">
        <f>_xll.BDP($A162,"IPO_OFFER_PX_TO_1ST_OPEN_%_CHG",$A$1,$A$2)</f>
        <v>46.666670000000003</v>
      </c>
      <c r="J162" s="6">
        <v>15</v>
      </c>
      <c r="K162" s="6">
        <v>4480000</v>
      </c>
      <c r="L162" s="7" t="s">
        <v>52</v>
      </c>
      <c r="M162" s="7" t="s">
        <v>575</v>
      </c>
      <c r="N162" s="7" t="s">
        <v>576</v>
      </c>
    </row>
    <row r="163" spans="1:14" s="4" customFormat="1" ht="13.2" x14ac:dyDescent="0.25">
      <c r="A163" s="7" t="s">
        <v>577</v>
      </c>
      <c r="B163" s="7" t="s">
        <v>578</v>
      </c>
      <c r="C163" s="7" t="s">
        <v>573</v>
      </c>
      <c r="D163" s="6"/>
      <c r="E163" s="7" t="s">
        <v>579</v>
      </c>
      <c r="F163" s="7" t="s">
        <v>578</v>
      </c>
      <c r="G163" s="6"/>
      <c r="H163" s="6" t="str">
        <f>_xll.BDP($A163,"IPO_OFFER_PX_TO_LAST_CLOSE_%_CHG",$A$1,$A$2)</f>
        <v>#N/A N/A</v>
      </c>
      <c r="I163" s="6">
        <f>_xll.BDP($A163,"IPO_OFFER_PX_TO_1ST_OPEN_%_CHG",$A$1,$A$2)</f>
        <v>3.75</v>
      </c>
      <c r="J163" s="6">
        <v>200</v>
      </c>
      <c r="K163" s="6">
        <v>6250000</v>
      </c>
      <c r="L163" s="7"/>
      <c r="M163" s="7"/>
      <c r="N163" s="7"/>
    </row>
    <row r="164" spans="1:14" s="4" customFormat="1" ht="13.2" x14ac:dyDescent="0.25">
      <c r="A164" s="7" t="s">
        <v>580</v>
      </c>
      <c r="B164" s="7" t="s">
        <v>581</v>
      </c>
      <c r="C164" s="7" t="s">
        <v>582</v>
      </c>
      <c r="D164" s="6"/>
      <c r="E164" s="7" t="s">
        <v>583</v>
      </c>
      <c r="F164" s="7" t="s">
        <v>581</v>
      </c>
      <c r="G164" s="6"/>
      <c r="H164" s="6" t="str">
        <f>_xll.BDP($A164,"IPO_OFFER_PX_TO_LAST_CLOSE_%_CHG",$A$1,$A$2)</f>
        <v>#N/A N/A</v>
      </c>
      <c r="I164" s="6">
        <f>_xll.BDP($A164,"IPO_OFFER_PX_TO_1ST_OPEN_%_CHG",$A$1,$A$2)</f>
        <v>107.6923</v>
      </c>
      <c r="J164" s="6">
        <v>13</v>
      </c>
      <c r="K164" s="6">
        <v>5000000</v>
      </c>
      <c r="L164" s="7"/>
      <c r="M164" s="7"/>
      <c r="N164" s="7"/>
    </row>
    <row r="165" spans="1:14" s="4" customFormat="1" ht="13.2" x14ac:dyDescent="0.25">
      <c r="A165" s="7" t="s">
        <v>584</v>
      </c>
      <c r="B165" s="7" t="s">
        <v>585</v>
      </c>
      <c r="C165" s="7" t="s">
        <v>582</v>
      </c>
      <c r="D165" s="6">
        <v>1.02</v>
      </c>
      <c r="E165" s="7" t="s">
        <v>586</v>
      </c>
      <c r="F165" s="7" t="s">
        <v>585</v>
      </c>
      <c r="G165" s="6">
        <v>49274053.920000002</v>
      </c>
      <c r="H165" s="6">
        <f>_xll.BDP($A165,"IPO_OFFER_PX_TO_LAST_CLOSE_%_CHG",$A$1,$A$2)</f>
        <v>-98.785709999999995</v>
      </c>
      <c r="I165" s="6">
        <f>_xll.BDP($A165,"IPO_OFFER_PX_TO_1ST_OPEN_%_CHG",$A$1,$A$2)</f>
        <v>20.83333</v>
      </c>
      <c r="J165" s="6">
        <v>12</v>
      </c>
      <c r="K165" s="6">
        <v>5000000</v>
      </c>
      <c r="L165" s="7" t="s">
        <v>52</v>
      </c>
      <c r="M165" s="7" t="s">
        <v>587</v>
      </c>
      <c r="N165" s="7" t="s">
        <v>587</v>
      </c>
    </row>
    <row r="166" spans="1:14" s="4" customFormat="1" ht="13.2" x14ac:dyDescent="0.25">
      <c r="A166" s="7" t="s">
        <v>588</v>
      </c>
      <c r="B166" s="7" t="s">
        <v>589</v>
      </c>
      <c r="C166" s="7" t="s">
        <v>590</v>
      </c>
      <c r="D166" s="6"/>
      <c r="E166" s="7" t="s">
        <v>591</v>
      </c>
      <c r="F166" s="7" t="s">
        <v>589</v>
      </c>
      <c r="G166" s="6"/>
      <c r="H166" s="6" t="str">
        <f>_xll.BDP($A166,"IPO_OFFER_PX_TO_LAST_CLOSE_%_CHG",$A$1,$A$2)</f>
        <v>#N/A N/A</v>
      </c>
      <c r="I166" s="6">
        <f>_xll.BDP($A166,"IPO_OFFER_PX_TO_1ST_OPEN_%_CHG",$A$1,$A$2)</f>
        <v>64.705879999999993</v>
      </c>
      <c r="J166" s="6">
        <v>17</v>
      </c>
      <c r="K166" s="6">
        <v>6500000</v>
      </c>
      <c r="L166" s="7"/>
      <c r="M166" s="7"/>
      <c r="N166" s="7"/>
    </row>
    <row r="167" spans="1:14" s="4" customFormat="1" ht="13.2" x14ac:dyDescent="0.25">
      <c r="A167" s="7" t="s">
        <v>592</v>
      </c>
      <c r="B167" s="7" t="s">
        <v>593</v>
      </c>
      <c r="C167" s="7" t="s">
        <v>590</v>
      </c>
      <c r="D167" s="6"/>
      <c r="E167" s="7" t="s">
        <v>594</v>
      </c>
      <c r="F167" s="7" t="s">
        <v>593</v>
      </c>
      <c r="G167" s="6"/>
      <c r="H167" s="6" t="str">
        <f>_xll.BDP($A167,"IPO_OFFER_PX_TO_LAST_CLOSE_%_CHG",$A$1,$A$2)</f>
        <v>#N/A N/A</v>
      </c>
      <c r="I167" s="6">
        <f>_xll.BDP($A167,"IPO_OFFER_PX_TO_1ST_OPEN_%_CHG",$A$1,$A$2)</f>
        <v>133.33330000000001</v>
      </c>
      <c r="J167" s="6">
        <v>15</v>
      </c>
      <c r="K167" s="6">
        <v>5500000</v>
      </c>
      <c r="L167" s="7"/>
      <c r="M167" s="7"/>
      <c r="N167" s="7"/>
    </row>
    <row r="168" spans="1:14" s="4" customFormat="1" ht="13.2" x14ac:dyDescent="0.25">
      <c r="A168" s="7" t="s">
        <v>595</v>
      </c>
      <c r="B168" s="7" t="s">
        <v>596</v>
      </c>
      <c r="C168" s="7" t="s">
        <v>590</v>
      </c>
      <c r="D168" s="6"/>
      <c r="E168" s="7" t="s">
        <v>597</v>
      </c>
      <c r="F168" s="7" t="s">
        <v>596</v>
      </c>
      <c r="G168" s="6"/>
      <c r="H168" s="6" t="str">
        <f>_xll.BDP($A168,"IPO_OFFER_PX_TO_LAST_CLOSE_%_CHG",$A$1,$A$2)</f>
        <v>#N/A N/A</v>
      </c>
      <c r="I168" s="6">
        <f>_xll.BDP($A168,"IPO_OFFER_PX_TO_1ST_OPEN_%_CHG",$A$1,$A$2)</f>
        <v>106.66670000000001</v>
      </c>
      <c r="J168" s="6">
        <v>15</v>
      </c>
      <c r="K168" s="6">
        <v>4000000</v>
      </c>
      <c r="L168" s="7"/>
      <c r="M168" s="7"/>
      <c r="N168" s="7"/>
    </row>
    <row r="169" spans="1:14" s="4" customFormat="1" ht="13.2" x14ac:dyDescent="0.25">
      <c r="A169" s="7" t="s">
        <v>598</v>
      </c>
      <c r="B169" s="7" t="s">
        <v>599</v>
      </c>
      <c r="C169" s="7" t="s">
        <v>590</v>
      </c>
      <c r="D169" s="6"/>
      <c r="E169" s="7" t="s">
        <v>600</v>
      </c>
      <c r="F169" s="7" t="s">
        <v>599</v>
      </c>
      <c r="G169" s="6"/>
      <c r="H169" s="6" t="str">
        <f>_xll.BDP($A169,"IPO_OFFER_PX_TO_LAST_CLOSE_%_CHG",$A$1,$A$2)</f>
        <v>#N/A N/A</v>
      </c>
      <c r="I169" s="6">
        <f>_xll.BDP($A169,"IPO_OFFER_PX_TO_1ST_OPEN_%_CHG",$A$1,$A$2)</f>
        <v>0.34722219999999998</v>
      </c>
      <c r="J169" s="6">
        <v>9</v>
      </c>
      <c r="K169" s="6">
        <v>7500000</v>
      </c>
      <c r="L169" s="7"/>
      <c r="M169" s="7"/>
      <c r="N169" s="7"/>
    </row>
    <row r="170" spans="1:14" s="4" customFormat="1" ht="13.2" x14ac:dyDescent="0.25">
      <c r="A170" s="7" t="s">
        <v>601</v>
      </c>
      <c r="B170" s="7" t="s">
        <v>602</v>
      </c>
      <c r="C170" s="7" t="s">
        <v>603</v>
      </c>
      <c r="D170" s="6"/>
      <c r="E170" s="7" t="s">
        <v>604</v>
      </c>
      <c r="F170" s="7" t="s">
        <v>602</v>
      </c>
      <c r="G170" s="6"/>
      <c r="H170" s="6" t="str">
        <f>_xll.BDP($A170,"IPO_OFFER_PX_TO_LAST_CLOSE_%_CHG",$A$1,$A$2)</f>
        <v>#N/A N/A</v>
      </c>
      <c r="I170" s="6" t="str">
        <f>_xll.BDP($A170,"IPO_OFFER_PX_TO_1ST_OPEN_%_CHG",$A$1,$A$2)</f>
        <v>#N/A N/A</v>
      </c>
      <c r="J170" s="6">
        <v>14</v>
      </c>
      <c r="K170" s="6">
        <v>4000000</v>
      </c>
      <c r="L170" s="7"/>
      <c r="M170" s="7"/>
      <c r="N170" s="7"/>
    </row>
    <row r="171" spans="1:14" s="4" customFormat="1" ht="13.2" x14ac:dyDescent="0.25">
      <c r="A171" s="7" t="s">
        <v>605</v>
      </c>
      <c r="B171" s="7" t="s">
        <v>606</v>
      </c>
      <c r="C171" s="7" t="s">
        <v>607</v>
      </c>
      <c r="D171" s="6">
        <v>131.69999999999999</v>
      </c>
      <c r="E171" s="7" t="s">
        <v>608</v>
      </c>
      <c r="F171" s="7" t="s">
        <v>606</v>
      </c>
      <c r="G171" s="6">
        <v>4047654234.8999996</v>
      </c>
      <c r="H171" s="6">
        <f>_xll.BDP($A171,"IPO_OFFER_PX_TO_LAST_CLOSE_%_CHG",$A$1,$A$2)</f>
        <v>49.659089999999999</v>
      </c>
      <c r="I171" s="6">
        <f>_xll.BDP($A171,"IPO_OFFER_PX_TO_1ST_OPEN_%_CHG",$A$1,$A$2)</f>
        <v>25</v>
      </c>
      <c r="J171" s="6">
        <v>22</v>
      </c>
      <c r="K171" s="6">
        <v>15500000</v>
      </c>
      <c r="L171" s="7" t="s">
        <v>280</v>
      </c>
      <c r="M171" s="7" t="s">
        <v>609</v>
      </c>
      <c r="N171" s="7" t="s">
        <v>610</v>
      </c>
    </row>
    <row r="172" spans="1:14" s="4" customFormat="1" ht="13.2" x14ac:dyDescent="0.25">
      <c r="A172" s="7" t="s">
        <v>611</v>
      </c>
      <c r="B172" s="7" t="s">
        <v>612</v>
      </c>
      <c r="C172" s="7" t="s">
        <v>607</v>
      </c>
      <c r="D172" s="6"/>
      <c r="E172" s="7" t="s">
        <v>613</v>
      </c>
      <c r="F172" s="7" t="s">
        <v>612</v>
      </c>
      <c r="G172" s="6"/>
      <c r="H172" s="6" t="str">
        <f>_xll.BDP($A172,"IPO_OFFER_PX_TO_LAST_CLOSE_%_CHG",$A$1,$A$2)</f>
        <v>#N/A N/A</v>
      </c>
      <c r="I172" s="6">
        <f>_xll.BDP($A172,"IPO_OFFER_PX_TO_1ST_OPEN_%_CHG",$A$1,$A$2)</f>
        <v>-5.555555</v>
      </c>
      <c r="J172" s="6">
        <v>9</v>
      </c>
      <c r="K172" s="6">
        <v>14285000</v>
      </c>
      <c r="L172" s="7"/>
      <c r="M172" s="7"/>
      <c r="N172" s="7"/>
    </row>
    <row r="173" spans="1:14" s="4" customFormat="1" ht="13.2" x14ac:dyDescent="0.25">
      <c r="A173" s="7" t="s">
        <v>614</v>
      </c>
      <c r="B173" s="7" t="s">
        <v>615</v>
      </c>
      <c r="C173" s="7" t="s">
        <v>616</v>
      </c>
      <c r="D173" s="6">
        <v>133.79</v>
      </c>
      <c r="E173" s="7" t="s">
        <v>617</v>
      </c>
      <c r="F173" s="7" t="s">
        <v>615</v>
      </c>
      <c r="G173" s="6">
        <v>20402975000</v>
      </c>
      <c r="H173" s="6">
        <f>_xll.BDP($A173,"IPO_OFFER_PX_TO_LAST_CLOSE_%_CHG",$A$1,$A$2)</f>
        <v>1116.2729999999999</v>
      </c>
      <c r="I173" s="6">
        <f>_xll.BDP($A173,"IPO_OFFER_PX_TO_1ST_OPEN_%_CHG",$A$1,$A$2)</f>
        <v>-1.1363639999999999</v>
      </c>
      <c r="J173" s="6">
        <v>11</v>
      </c>
      <c r="K173" s="6">
        <v>13000000</v>
      </c>
      <c r="L173" s="7" t="s">
        <v>280</v>
      </c>
      <c r="M173" s="7" t="s">
        <v>609</v>
      </c>
      <c r="N173" s="7" t="s">
        <v>610</v>
      </c>
    </row>
    <row r="174" spans="1:14" s="4" customFormat="1" ht="13.2" x14ac:dyDescent="0.25">
      <c r="A174" s="7" t="s">
        <v>618</v>
      </c>
      <c r="B174" s="7" t="s">
        <v>619</v>
      </c>
      <c r="C174" s="7" t="s">
        <v>620</v>
      </c>
      <c r="D174" s="6"/>
      <c r="E174" s="7" t="s">
        <v>621</v>
      </c>
      <c r="F174" s="7" t="s">
        <v>619</v>
      </c>
      <c r="G174" s="6"/>
      <c r="H174" s="6" t="str">
        <f>_xll.BDP($A174,"IPO_OFFER_PX_TO_LAST_CLOSE_%_CHG",$A$1,$A$2)</f>
        <v>#N/A N/A</v>
      </c>
      <c r="I174" s="6" t="str">
        <f>_xll.BDP($A174,"IPO_OFFER_PX_TO_1ST_OPEN_%_CHG",$A$1,$A$2)</f>
        <v>#N/A N/A</v>
      </c>
      <c r="J174" s="6">
        <v>21</v>
      </c>
      <c r="K174" s="6">
        <v>1500000</v>
      </c>
      <c r="L174" s="7" t="s">
        <v>343</v>
      </c>
      <c r="M174" s="7" t="s">
        <v>622</v>
      </c>
      <c r="N174" s="7" t="s">
        <v>623</v>
      </c>
    </row>
    <row r="175" spans="1:14" s="4" customFormat="1" ht="13.2" x14ac:dyDescent="0.25">
      <c r="A175" s="7" t="s">
        <v>624</v>
      </c>
      <c r="B175" s="7" t="s">
        <v>625</v>
      </c>
      <c r="C175" s="7" t="s">
        <v>626</v>
      </c>
      <c r="D175" s="6"/>
      <c r="E175" s="7" t="s">
        <v>627</v>
      </c>
      <c r="F175" s="7" t="s">
        <v>625</v>
      </c>
      <c r="G175" s="6"/>
      <c r="H175" s="6" t="str">
        <f>_xll.BDP($A175,"IPO_OFFER_PX_TO_LAST_CLOSE_%_CHG",$A$1,$A$2)</f>
        <v>#N/A N/A</v>
      </c>
      <c r="I175" s="6">
        <f>_xll.BDP($A175,"IPO_OFFER_PX_TO_1ST_OPEN_%_CHG",$A$1,$A$2)</f>
        <v>8.3333329999999997</v>
      </c>
      <c r="J175" s="6">
        <v>12</v>
      </c>
      <c r="K175" s="6">
        <v>4000000</v>
      </c>
      <c r="L175" s="7"/>
      <c r="M175" s="7"/>
      <c r="N175" s="7"/>
    </row>
    <row r="176" spans="1:14" s="4" customFormat="1" ht="13.2" x14ac:dyDescent="0.25">
      <c r="A176" s="7" t="s">
        <v>628</v>
      </c>
      <c r="B176" s="7" t="s">
        <v>629</v>
      </c>
      <c r="C176" s="7" t="s">
        <v>630</v>
      </c>
      <c r="D176" s="6"/>
      <c r="E176" s="7" t="s">
        <v>631</v>
      </c>
      <c r="F176" s="7" t="s">
        <v>629</v>
      </c>
      <c r="G176" s="6"/>
      <c r="H176" s="6" t="str">
        <f>_xll.BDP($A176,"IPO_OFFER_PX_TO_LAST_CLOSE_%_CHG",$A$1,$A$2)</f>
        <v>#N/A N/A</v>
      </c>
      <c r="I176" s="6">
        <f>_xll.BDP($A176,"IPO_OFFER_PX_TO_1ST_OPEN_%_CHG",$A$1,$A$2)</f>
        <v>240.7407</v>
      </c>
      <c r="J176" s="6">
        <v>27</v>
      </c>
      <c r="K176" s="6">
        <v>9000000</v>
      </c>
      <c r="L176" s="7"/>
      <c r="M176" s="7"/>
      <c r="N176" s="7"/>
    </row>
    <row r="177" spans="1:14" s="4" customFormat="1" ht="13.2" x14ac:dyDescent="0.25">
      <c r="A177" s="7" t="s">
        <v>632</v>
      </c>
      <c r="B177" s="7" t="s">
        <v>633</v>
      </c>
      <c r="C177" s="7" t="s">
        <v>630</v>
      </c>
      <c r="D177" s="6"/>
      <c r="E177" s="7" t="s">
        <v>634</v>
      </c>
      <c r="F177" s="7" t="s">
        <v>633</v>
      </c>
      <c r="G177" s="6"/>
      <c r="H177" s="6" t="str">
        <f>_xll.BDP($A177,"IPO_OFFER_PX_TO_LAST_CLOSE_%_CHG",$A$1,$A$2)</f>
        <v>#N/A N/A</v>
      </c>
      <c r="I177" s="6">
        <f>_xll.BDP($A177,"IPO_OFFER_PX_TO_1ST_OPEN_%_CHG",$A$1,$A$2)</f>
        <v>31.818180000000002</v>
      </c>
      <c r="J177" s="6">
        <v>11</v>
      </c>
      <c r="K177" s="6">
        <v>3500000</v>
      </c>
      <c r="L177" s="7"/>
      <c r="M177" s="7"/>
      <c r="N177" s="7"/>
    </row>
    <row r="178" spans="1:14" s="4" customFormat="1" ht="13.2" x14ac:dyDescent="0.25">
      <c r="A178" s="7" t="s">
        <v>635</v>
      </c>
      <c r="B178" s="7" t="s">
        <v>636</v>
      </c>
      <c r="C178" s="7" t="s">
        <v>630</v>
      </c>
      <c r="D178" s="6"/>
      <c r="E178" s="7" t="s">
        <v>637</v>
      </c>
      <c r="F178" s="7" t="s">
        <v>636</v>
      </c>
      <c r="G178" s="6"/>
      <c r="H178" s="6" t="str">
        <f>_xll.BDP($A178,"IPO_OFFER_PX_TO_LAST_CLOSE_%_CHG",$A$1,$A$2)</f>
        <v>#N/A N/A</v>
      </c>
      <c r="I178" s="6">
        <f>_xll.BDP($A178,"IPO_OFFER_PX_TO_1ST_OPEN_%_CHG",$A$1,$A$2)</f>
        <v>71.09375</v>
      </c>
      <c r="J178" s="6">
        <v>16</v>
      </c>
      <c r="K178" s="6">
        <v>9090910</v>
      </c>
      <c r="L178" s="7"/>
      <c r="M178" s="7"/>
      <c r="N178" s="7"/>
    </row>
    <row r="179" spans="1:14" s="4" customFormat="1" ht="13.2" x14ac:dyDescent="0.25">
      <c r="A179" s="7" t="s">
        <v>638</v>
      </c>
      <c r="B179" s="7" t="s">
        <v>639</v>
      </c>
      <c r="C179" s="7" t="s">
        <v>630</v>
      </c>
      <c r="D179" s="6"/>
      <c r="E179" s="7" t="s">
        <v>640</v>
      </c>
      <c r="F179" s="7" t="s">
        <v>639</v>
      </c>
      <c r="G179" s="6"/>
      <c r="H179" s="6" t="str">
        <f>_xll.BDP($A179,"IPO_OFFER_PX_TO_LAST_CLOSE_%_CHG",$A$1,$A$2)</f>
        <v>#N/A N/A</v>
      </c>
      <c r="I179" s="6">
        <f>_xll.BDP($A179,"IPO_OFFER_PX_TO_1ST_OPEN_%_CHG",$A$1,$A$2)</f>
        <v>-6.25</v>
      </c>
      <c r="J179" s="6">
        <v>12</v>
      </c>
      <c r="K179" s="6">
        <v>4000000</v>
      </c>
      <c r="L179" s="7"/>
      <c r="M179" s="7"/>
      <c r="N179" s="7"/>
    </row>
    <row r="180" spans="1:14" s="4" customFormat="1" ht="13.2" x14ac:dyDescent="0.25">
      <c r="A180" s="7" t="s">
        <v>641</v>
      </c>
      <c r="B180" s="7" t="s">
        <v>642</v>
      </c>
      <c r="C180" s="7" t="s">
        <v>643</v>
      </c>
      <c r="D180" s="6">
        <v>30.49</v>
      </c>
      <c r="E180" s="7" t="s">
        <v>644</v>
      </c>
      <c r="F180" s="7" t="s">
        <v>642</v>
      </c>
      <c r="G180" s="6">
        <v>2555552462.1399999</v>
      </c>
      <c r="H180" s="6">
        <f>_xll.BDP($A180,"IPO_OFFER_PX_TO_LAST_CLOSE_%_CHG",$A$1,$A$2)</f>
        <v>204.9</v>
      </c>
      <c r="I180" s="6" t="str">
        <f>_xll.BDP($A180,"IPO_OFFER_PX_TO_1ST_OPEN_%_CHG",$A$1,$A$2)</f>
        <v>#N/A N/A</v>
      </c>
      <c r="J180" s="6">
        <v>10</v>
      </c>
      <c r="K180" s="6">
        <v>7105330</v>
      </c>
      <c r="L180" s="7" t="s">
        <v>645</v>
      </c>
      <c r="M180" s="7" t="s">
        <v>646</v>
      </c>
      <c r="N180" s="7" t="s">
        <v>647</v>
      </c>
    </row>
    <row r="181" spans="1:14" s="4" customFormat="1" ht="13.2" x14ac:dyDescent="0.25">
      <c r="A181" s="7" t="s">
        <v>648</v>
      </c>
      <c r="B181" s="7" t="s">
        <v>649</v>
      </c>
      <c r="C181" s="7" t="s">
        <v>643</v>
      </c>
      <c r="D181" s="6"/>
      <c r="E181" s="7" t="s">
        <v>650</v>
      </c>
      <c r="F181" s="7" t="s">
        <v>649</v>
      </c>
      <c r="G181" s="6"/>
      <c r="H181" s="6" t="str">
        <f>_xll.BDP($A181,"IPO_OFFER_PX_TO_LAST_CLOSE_%_CHG",$A$1,$A$2)</f>
        <v>#N/A N/A</v>
      </c>
      <c r="I181" s="6">
        <f>_xll.BDP($A181,"IPO_OFFER_PX_TO_1ST_OPEN_%_CHG",$A$1,$A$2)</f>
        <v>-2.2727270000000002</v>
      </c>
      <c r="J181" s="6">
        <v>11</v>
      </c>
      <c r="K181" s="6">
        <v>173913000</v>
      </c>
      <c r="L181" s="7"/>
      <c r="M181" s="7"/>
      <c r="N181" s="7"/>
    </row>
    <row r="182" spans="1:14" s="4" customFormat="1" ht="13.2" x14ac:dyDescent="0.25">
      <c r="A182" s="7" t="s">
        <v>651</v>
      </c>
      <c r="B182" s="7" t="s">
        <v>652</v>
      </c>
      <c r="C182" s="7" t="s">
        <v>653</v>
      </c>
      <c r="D182" s="6"/>
      <c r="E182" s="7" t="s">
        <v>654</v>
      </c>
      <c r="F182" s="7" t="s">
        <v>652</v>
      </c>
      <c r="G182" s="6"/>
      <c r="H182" s="6" t="str">
        <f>_xll.BDP($A182,"IPO_OFFER_PX_TO_LAST_CLOSE_%_CHG",$A$1,$A$2)</f>
        <v>#N/A N/A</v>
      </c>
      <c r="I182" s="6">
        <f>_xll.BDP($A182,"IPO_OFFER_PX_TO_1ST_OPEN_%_CHG",$A$1,$A$2)</f>
        <v>216.66669999999999</v>
      </c>
      <c r="J182" s="6">
        <v>15</v>
      </c>
      <c r="K182" s="6">
        <v>6000000</v>
      </c>
      <c r="L182" s="7"/>
      <c r="M182" s="7"/>
      <c r="N182" s="7"/>
    </row>
    <row r="183" spans="1:14" s="4" customFormat="1" ht="13.2" x14ac:dyDescent="0.25">
      <c r="A183" s="7" t="s">
        <v>655</v>
      </c>
      <c r="B183" s="7" t="s">
        <v>656</v>
      </c>
      <c r="C183" s="7" t="s">
        <v>653</v>
      </c>
      <c r="D183" s="6"/>
      <c r="E183" s="7" t="s">
        <v>657</v>
      </c>
      <c r="F183" s="7" t="s">
        <v>656</v>
      </c>
      <c r="G183" s="6"/>
      <c r="H183" s="6" t="str">
        <f>_xll.BDP($A183,"IPO_OFFER_PX_TO_LAST_CLOSE_%_CHG",$A$1,$A$2)</f>
        <v>#N/A N/A</v>
      </c>
      <c r="I183" s="6">
        <f>_xll.BDP($A183,"IPO_OFFER_PX_TO_1ST_OPEN_%_CHG",$A$1,$A$2)</f>
        <v>0.2403846</v>
      </c>
      <c r="J183" s="6">
        <v>13</v>
      </c>
      <c r="K183" s="6">
        <v>5500000</v>
      </c>
      <c r="L183" s="7"/>
      <c r="M183" s="7"/>
      <c r="N183" s="7"/>
    </row>
    <row r="184" spans="1:14" s="4" customFormat="1" ht="13.2" x14ac:dyDescent="0.25">
      <c r="A184" s="7" t="s">
        <v>658</v>
      </c>
      <c r="B184" s="7" t="s">
        <v>659</v>
      </c>
      <c r="C184" s="7" t="s">
        <v>653</v>
      </c>
      <c r="D184" s="6"/>
      <c r="E184" s="7" t="s">
        <v>660</v>
      </c>
      <c r="F184" s="7" t="s">
        <v>659</v>
      </c>
      <c r="G184" s="6"/>
      <c r="H184" s="6" t="str">
        <f>_xll.BDP($A184,"IPO_OFFER_PX_TO_LAST_CLOSE_%_CHG",$A$1,$A$2)</f>
        <v>#N/A N/A</v>
      </c>
      <c r="I184" s="6">
        <f>_xll.BDP($A184,"IPO_OFFER_PX_TO_1ST_OPEN_%_CHG",$A$1,$A$2)</f>
        <v>138.09520000000001</v>
      </c>
      <c r="J184" s="6">
        <v>21</v>
      </c>
      <c r="K184" s="6">
        <v>8750000</v>
      </c>
      <c r="L184" s="7"/>
      <c r="M184" s="7"/>
      <c r="N184" s="7"/>
    </row>
    <row r="185" spans="1:14" s="4" customFormat="1" ht="13.2" x14ac:dyDescent="0.25">
      <c r="A185" s="7" t="s">
        <v>661</v>
      </c>
      <c r="B185" s="7" t="s">
        <v>662</v>
      </c>
      <c r="C185" s="7" t="s">
        <v>653</v>
      </c>
      <c r="D185" s="6"/>
      <c r="E185" s="7" t="s">
        <v>663</v>
      </c>
      <c r="F185" s="7" t="s">
        <v>662</v>
      </c>
      <c r="G185" s="6"/>
      <c r="H185" s="6" t="str">
        <f>_xll.BDP($A185,"IPO_OFFER_PX_TO_LAST_CLOSE_%_CHG",$A$1,$A$2)</f>
        <v>#N/A N/A</v>
      </c>
      <c r="I185" s="6">
        <f>_xll.BDP($A185,"IPO_OFFER_PX_TO_1ST_OPEN_%_CHG",$A$1,$A$2)</f>
        <v>40</v>
      </c>
      <c r="J185" s="6">
        <v>10</v>
      </c>
      <c r="K185" s="6">
        <v>5000000</v>
      </c>
      <c r="L185" s="7"/>
      <c r="M185" s="7"/>
      <c r="N185" s="7"/>
    </row>
    <row r="186" spans="1:14" s="4" customFormat="1" ht="13.2" x14ac:dyDescent="0.25">
      <c r="A186" s="7" t="s">
        <v>664</v>
      </c>
      <c r="B186" s="7" t="s">
        <v>665</v>
      </c>
      <c r="C186" s="7" t="s">
        <v>666</v>
      </c>
      <c r="D186" s="6"/>
      <c r="E186" s="7" t="s">
        <v>667</v>
      </c>
      <c r="F186" s="7" t="s">
        <v>665</v>
      </c>
      <c r="G186" s="6"/>
      <c r="H186" s="6" t="str">
        <f>_xll.BDP($A186,"IPO_OFFER_PX_TO_LAST_CLOSE_%_CHG",$A$1,$A$2)</f>
        <v>#N/A N/A</v>
      </c>
      <c r="I186" s="6">
        <f>_xll.BDP($A186,"IPO_OFFER_PX_TO_1ST_OPEN_%_CHG",$A$1,$A$2)</f>
        <v>21.25</v>
      </c>
      <c r="J186" s="6">
        <v>5</v>
      </c>
      <c r="K186" s="6">
        <v>2500000</v>
      </c>
      <c r="L186" s="7"/>
      <c r="M186" s="7"/>
      <c r="N186" s="7"/>
    </row>
    <row r="187" spans="1:14" s="4" customFormat="1" ht="13.2" x14ac:dyDescent="0.25">
      <c r="A187" s="7" t="s">
        <v>668</v>
      </c>
      <c r="B187" s="7" t="s">
        <v>669</v>
      </c>
      <c r="C187" s="7" t="s">
        <v>670</v>
      </c>
      <c r="D187" s="6"/>
      <c r="E187" s="7" t="s">
        <v>671</v>
      </c>
      <c r="F187" s="7" t="s">
        <v>669</v>
      </c>
      <c r="G187" s="6"/>
      <c r="H187" s="6" t="str">
        <f>_xll.BDP($A187,"IPO_OFFER_PX_TO_LAST_CLOSE_%_CHG",$A$1,$A$2)</f>
        <v>#N/A N/A</v>
      </c>
      <c r="I187" s="6">
        <f>_xll.BDP($A187,"IPO_OFFER_PX_TO_1ST_OPEN_%_CHG",$A$1,$A$2)</f>
        <v>120</v>
      </c>
      <c r="J187" s="6">
        <v>15</v>
      </c>
      <c r="K187" s="6">
        <v>4000000</v>
      </c>
      <c r="L187" s="7"/>
      <c r="M187" s="7"/>
      <c r="N187" s="7"/>
    </row>
    <row r="188" spans="1:14" s="4" customFormat="1" ht="13.2" x14ac:dyDescent="0.25">
      <c r="A188" s="7" t="s">
        <v>672</v>
      </c>
      <c r="B188" s="7" t="s">
        <v>673</v>
      </c>
      <c r="C188" s="7" t="s">
        <v>670</v>
      </c>
      <c r="D188" s="6">
        <v>219.7</v>
      </c>
      <c r="E188" s="7" t="s">
        <v>674</v>
      </c>
      <c r="F188" s="7" t="s">
        <v>673</v>
      </c>
      <c r="G188" s="6">
        <v>10582450281.000002</v>
      </c>
      <c r="H188" s="6">
        <f>_xll.BDP($A188,"IPO_OFFER_PX_TO_LAST_CLOSE_%_CHG",$A$1,$A$2)</f>
        <v>1273.125</v>
      </c>
      <c r="I188" s="6">
        <f>_xll.BDP($A188,"IPO_OFFER_PX_TO_1ST_OPEN_%_CHG",$A$1,$A$2)</f>
        <v>21.875</v>
      </c>
      <c r="J188" s="6">
        <v>16</v>
      </c>
      <c r="K188" s="6">
        <v>14000000</v>
      </c>
      <c r="L188" s="7" t="s">
        <v>52</v>
      </c>
      <c r="M188" s="7" t="s">
        <v>53</v>
      </c>
      <c r="N188" s="7" t="s">
        <v>53</v>
      </c>
    </row>
    <row r="189" spans="1:14" s="4" customFormat="1" ht="13.2" x14ac:dyDescent="0.25">
      <c r="A189" s="7" t="s">
        <v>675</v>
      </c>
      <c r="B189" s="7" t="s">
        <v>676</v>
      </c>
      <c r="C189" s="7" t="s">
        <v>670</v>
      </c>
      <c r="D189" s="6">
        <v>3.0651999999999999</v>
      </c>
      <c r="E189" s="7" t="s">
        <v>677</v>
      </c>
      <c r="F189" s="7" t="s">
        <v>676</v>
      </c>
      <c r="G189" s="6">
        <v>17701530</v>
      </c>
      <c r="H189" s="6">
        <f>_xll.BDP($A189,"IPO_OFFER_PX_TO_LAST_CLOSE_%_CHG",$A$1,$A$2)</f>
        <v>-78.105670000000003</v>
      </c>
      <c r="I189" s="6">
        <f>_xll.BDP($A189,"IPO_OFFER_PX_TO_1ST_OPEN_%_CHG",$A$1,$A$2)</f>
        <v>8.0357140000000005</v>
      </c>
      <c r="J189" s="6">
        <v>7</v>
      </c>
      <c r="K189" s="6">
        <v>2500000</v>
      </c>
      <c r="L189" s="7" t="s">
        <v>280</v>
      </c>
      <c r="M189" s="7" t="s">
        <v>678</v>
      </c>
      <c r="N189" s="7" t="s">
        <v>678</v>
      </c>
    </row>
    <row r="190" spans="1:14" s="4" customFormat="1" ht="13.2" x14ac:dyDescent="0.25">
      <c r="A190" s="7" t="s">
        <v>679</v>
      </c>
      <c r="B190" s="7" t="s">
        <v>680</v>
      </c>
      <c r="C190" s="7" t="s">
        <v>670</v>
      </c>
      <c r="D190" s="6"/>
      <c r="E190" s="7" t="s">
        <v>681</v>
      </c>
      <c r="F190" s="7" t="s">
        <v>680</v>
      </c>
      <c r="G190" s="6"/>
      <c r="H190" s="6" t="str">
        <f>_xll.BDP($A190,"IPO_OFFER_PX_TO_LAST_CLOSE_%_CHG",$A$1,$A$2)</f>
        <v>#N/A N/A</v>
      </c>
      <c r="I190" s="6">
        <f>_xll.BDP($A190,"IPO_OFFER_PX_TO_1ST_OPEN_%_CHG",$A$1,$A$2)</f>
        <v>29.6875</v>
      </c>
      <c r="J190" s="6">
        <v>16</v>
      </c>
      <c r="K190" s="6">
        <v>11000000</v>
      </c>
      <c r="L190" s="7"/>
      <c r="M190" s="7"/>
      <c r="N190" s="7"/>
    </row>
    <row r="191" spans="1:14" s="4" customFormat="1" ht="13.2" x14ac:dyDescent="0.25">
      <c r="A191" s="7" t="s">
        <v>682</v>
      </c>
      <c r="B191" s="7" t="s">
        <v>683</v>
      </c>
      <c r="C191" s="7" t="s">
        <v>684</v>
      </c>
      <c r="D191" s="6"/>
      <c r="E191" s="7" t="s">
        <v>685</v>
      </c>
      <c r="F191" s="7" t="s">
        <v>683</v>
      </c>
      <c r="G191" s="6"/>
      <c r="H191" s="6" t="str">
        <f>_xll.BDP($A191,"IPO_OFFER_PX_TO_LAST_CLOSE_%_CHG",$A$1,$A$2)</f>
        <v>#N/A N/A</v>
      </c>
      <c r="I191" s="6">
        <f>_xll.BDP($A191,"IPO_OFFER_PX_TO_1ST_OPEN_%_CHG",$A$1,$A$2)</f>
        <v>35</v>
      </c>
      <c r="J191" s="6">
        <v>20</v>
      </c>
      <c r="K191" s="6">
        <v>10000000</v>
      </c>
      <c r="L191" s="7"/>
      <c r="M191" s="7"/>
      <c r="N191" s="7"/>
    </row>
    <row r="192" spans="1:14" s="4" customFormat="1" ht="13.2" x14ac:dyDescent="0.25">
      <c r="A192" s="7" t="s">
        <v>686</v>
      </c>
      <c r="B192" s="7" t="s">
        <v>687</v>
      </c>
      <c r="C192" s="7" t="s">
        <v>684</v>
      </c>
      <c r="D192" s="6"/>
      <c r="E192" s="7" t="s">
        <v>688</v>
      </c>
      <c r="F192" s="7" t="s">
        <v>687</v>
      </c>
      <c r="G192" s="6"/>
      <c r="H192" s="6" t="str">
        <f>_xll.BDP($A192,"IPO_OFFER_PX_TO_LAST_CLOSE_%_CHG",$A$1,$A$2)</f>
        <v>#N/A N/A</v>
      </c>
      <c r="I192" s="6">
        <f>_xll.BDP($A192,"IPO_OFFER_PX_TO_1ST_OPEN_%_CHG",$A$1,$A$2)</f>
        <v>4.1666670000000003</v>
      </c>
      <c r="J192" s="6">
        <v>6</v>
      </c>
      <c r="K192" s="6">
        <v>5000000</v>
      </c>
      <c r="L192" s="7"/>
      <c r="M192" s="7"/>
      <c r="N192" s="7"/>
    </row>
    <row r="193" spans="1:14" s="4" customFormat="1" ht="13.2" x14ac:dyDescent="0.25">
      <c r="A193" s="7" t="s">
        <v>689</v>
      </c>
      <c r="B193" s="7" t="s">
        <v>690</v>
      </c>
      <c r="C193" s="7" t="s">
        <v>691</v>
      </c>
      <c r="D193" s="6"/>
      <c r="E193" s="7" t="s">
        <v>692</v>
      </c>
      <c r="F193" s="7" t="s">
        <v>690</v>
      </c>
      <c r="G193" s="6"/>
      <c r="H193" s="6" t="str">
        <f>_xll.BDP($A193,"IPO_OFFER_PX_TO_LAST_CLOSE_%_CHG",$A$1,$A$2)</f>
        <v>#N/A N/A</v>
      </c>
      <c r="I193" s="6">
        <f>_xll.BDP($A193,"IPO_OFFER_PX_TO_1ST_OPEN_%_CHG",$A$1,$A$2)</f>
        <v>0.3125</v>
      </c>
      <c r="J193" s="6">
        <v>10</v>
      </c>
      <c r="K193" s="6">
        <v>4500000</v>
      </c>
      <c r="L193" s="7"/>
      <c r="M193" s="7"/>
      <c r="N193" s="7"/>
    </row>
    <row r="194" spans="1:14" s="4" customFormat="1" ht="13.2" x14ac:dyDescent="0.25">
      <c r="A194" s="7" t="s">
        <v>693</v>
      </c>
      <c r="B194" s="7" t="s">
        <v>694</v>
      </c>
      <c r="C194" s="7" t="s">
        <v>695</v>
      </c>
      <c r="D194" s="6"/>
      <c r="E194" s="7" t="s">
        <v>696</v>
      </c>
      <c r="F194" s="7" t="s">
        <v>694</v>
      </c>
      <c r="G194" s="6"/>
      <c r="H194" s="6" t="str">
        <f>_xll.BDP($A194,"IPO_OFFER_PX_TO_LAST_CLOSE_%_CHG",$A$1,$A$2)</f>
        <v>#N/A N/A</v>
      </c>
      <c r="I194" s="6">
        <f>_xll.BDP($A194,"IPO_OFFER_PX_TO_1ST_OPEN_%_CHG",$A$1,$A$2)</f>
        <v>9.6774199999999997</v>
      </c>
      <c r="J194" s="6">
        <v>15.5</v>
      </c>
      <c r="K194" s="6">
        <v>5600000</v>
      </c>
      <c r="L194" s="7"/>
      <c r="M194" s="7"/>
      <c r="N194" s="7"/>
    </row>
    <row r="195" spans="1:14" s="4" customFormat="1" ht="13.2" x14ac:dyDescent="0.25">
      <c r="A195" s="7" t="s">
        <v>697</v>
      </c>
      <c r="B195" s="7" t="s">
        <v>698</v>
      </c>
      <c r="C195" s="7" t="s">
        <v>699</v>
      </c>
      <c r="D195" s="6"/>
      <c r="E195" s="7" t="s">
        <v>700</v>
      </c>
      <c r="F195" s="7" t="s">
        <v>698</v>
      </c>
      <c r="G195" s="6"/>
      <c r="H195" s="6" t="str">
        <f>_xll.BDP($A195,"IPO_OFFER_PX_TO_LAST_CLOSE_%_CHG",$A$1,$A$2)</f>
        <v>#N/A N/A</v>
      </c>
      <c r="I195" s="6">
        <f>_xll.BDP($A195,"IPO_OFFER_PX_TO_1ST_OPEN_%_CHG",$A$1,$A$2)</f>
        <v>-38.461539999999999</v>
      </c>
      <c r="J195" s="6">
        <v>13</v>
      </c>
      <c r="K195" s="6">
        <v>1260000</v>
      </c>
      <c r="L195" s="7"/>
      <c r="M195" s="7"/>
      <c r="N195" s="7"/>
    </row>
    <row r="196" spans="1:14" s="4" customFormat="1" ht="13.2" x14ac:dyDescent="0.25">
      <c r="A196" s="7" t="s">
        <v>701</v>
      </c>
      <c r="B196" s="7" t="s">
        <v>702</v>
      </c>
      <c r="C196" s="7" t="s">
        <v>703</v>
      </c>
      <c r="D196" s="6">
        <v>353.17</v>
      </c>
      <c r="E196" s="7" t="s">
        <v>704</v>
      </c>
      <c r="F196" s="7" t="s">
        <v>702</v>
      </c>
      <c r="G196" s="6">
        <v>125079690909.14001</v>
      </c>
      <c r="H196" s="6">
        <f>_xll.BDP($A196,"IPO_OFFER_PX_TO_LAST_CLOSE_%_CHG",$A$1,$A$2)</f>
        <v>17558.5</v>
      </c>
      <c r="I196" s="6">
        <f>_xll.BDP($A196,"IPO_OFFER_PX_TO_1ST_OPEN_%_CHG",$A$1,$A$2)</f>
        <v>0</v>
      </c>
      <c r="J196" s="6">
        <v>9</v>
      </c>
      <c r="K196" s="6">
        <v>5000000</v>
      </c>
      <c r="L196" s="7" t="s">
        <v>52</v>
      </c>
      <c r="M196" s="7" t="s">
        <v>233</v>
      </c>
      <c r="N196" s="7" t="s">
        <v>234</v>
      </c>
    </row>
    <row r="197" spans="1:14" s="4" customFormat="1" ht="13.2" x14ac:dyDescent="0.25">
      <c r="A197" s="7" t="s">
        <v>705</v>
      </c>
      <c r="B197" s="7" t="s">
        <v>706</v>
      </c>
      <c r="C197" s="7" t="s">
        <v>703</v>
      </c>
      <c r="D197" s="6"/>
      <c r="E197" s="7" t="s">
        <v>707</v>
      </c>
      <c r="F197" s="7" t="s">
        <v>706</v>
      </c>
      <c r="G197" s="6"/>
      <c r="H197" s="6" t="str">
        <f>_xll.BDP($A197,"IPO_OFFER_PX_TO_LAST_CLOSE_%_CHG",$A$1,$A$2)</f>
        <v>#N/A N/A</v>
      </c>
      <c r="I197" s="6">
        <f>_xll.BDP($A197,"IPO_OFFER_PX_TO_1ST_OPEN_%_CHG",$A$1,$A$2)</f>
        <v>-2.34375</v>
      </c>
      <c r="J197" s="6">
        <v>8</v>
      </c>
      <c r="K197" s="6">
        <v>1300000</v>
      </c>
      <c r="L197" s="7"/>
      <c r="M197" s="7"/>
      <c r="N197" s="7"/>
    </row>
    <row r="198" spans="1:14" s="4" customFormat="1" ht="13.2" x14ac:dyDescent="0.25">
      <c r="A198" s="7" t="s">
        <v>708</v>
      </c>
      <c r="B198" s="7" t="s">
        <v>709</v>
      </c>
      <c r="C198" s="7" t="s">
        <v>710</v>
      </c>
      <c r="D198" s="6"/>
      <c r="E198" s="7" t="s">
        <v>711</v>
      </c>
      <c r="F198" s="7" t="s">
        <v>709</v>
      </c>
      <c r="G198" s="6"/>
      <c r="H198" s="6" t="str">
        <f>_xll.BDP($A198,"IPO_OFFER_PX_TO_LAST_CLOSE_%_CHG",$A$1,$A$2)</f>
        <v>#N/A N/A</v>
      </c>
      <c r="I198" s="6">
        <f>_xll.BDP($A198,"IPO_OFFER_PX_TO_1ST_OPEN_%_CHG",$A$1,$A$2)</f>
        <v>30</v>
      </c>
      <c r="J198" s="6">
        <v>10</v>
      </c>
      <c r="K198" s="6">
        <v>26850000</v>
      </c>
      <c r="L198" s="7"/>
      <c r="M198" s="7"/>
      <c r="N198" s="7"/>
    </row>
    <row r="199" spans="1:14" s="4" customFormat="1" ht="13.2" x14ac:dyDescent="0.25">
      <c r="A199" s="7" t="s">
        <v>712</v>
      </c>
      <c r="B199" s="7" t="s">
        <v>713</v>
      </c>
      <c r="C199" s="7" t="s">
        <v>714</v>
      </c>
      <c r="D199" s="6">
        <v>3.12</v>
      </c>
      <c r="E199" s="7" t="s">
        <v>715</v>
      </c>
      <c r="F199" s="7" t="s">
        <v>713</v>
      </c>
      <c r="G199" s="6">
        <v>439660141.43999994</v>
      </c>
      <c r="H199" s="6">
        <f>_xll.BDP($A199,"IPO_OFFER_PX_TO_LAST_CLOSE_%_CHG",$A$1,$A$2)</f>
        <v>-70.842399999999998</v>
      </c>
      <c r="I199" s="6">
        <f>_xll.BDP($A199,"IPO_OFFER_PX_TO_1ST_OPEN_%_CHG",$A$1,$A$2)</f>
        <v>2.8846150000000002</v>
      </c>
      <c r="J199" s="6">
        <v>13</v>
      </c>
      <c r="K199" s="6">
        <v>18750000</v>
      </c>
      <c r="L199" s="7" t="s">
        <v>52</v>
      </c>
      <c r="M199" s="7" t="s">
        <v>575</v>
      </c>
      <c r="N199" s="7" t="s">
        <v>716</v>
      </c>
    </row>
    <row r="200" spans="1:14" s="4" customFormat="1" ht="13.2" x14ac:dyDescent="0.25">
      <c r="A200" s="7" t="s">
        <v>717</v>
      </c>
      <c r="B200" s="7" t="s">
        <v>718</v>
      </c>
      <c r="C200" s="7" t="s">
        <v>719</v>
      </c>
      <c r="D200" s="6"/>
      <c r="E200" s="7" t="s">
        <v>720</v>
      </c>
      <c r="F200" s="7" t="s">
        <v>718</v>
      </c>
      <c r="G200" s="6"/>
      <c r="H200" s="6" t="str">
        <f>_xll.BDP($A200,"IPO_OFFER_PX_TO_LAST_CLOSE_%_CHG",$A$1,$A$2)</f>
        <v>#N/A N/A</v>
      </c>
      <c r="I200" s="6">
        <f>_xll.BDP($A200,"IPO_OFFER_PX_TO_1ST_OPEN_%_CHG",$A$1,$A$2)</f>
        <v>-0.390625</v>
      </c>
      <c r="J200" s="6">
        <v>8</v>
      </c>
      <c r="K200" s="6">
        <v>12500000</v>
      </c>
      <c r="L200" s="7"/>
      <c r="M200" s="7"/>
      <c r="N200" s="7"/>
    </row>
    <row r="201" spans="1:14" s="4" customFormat="1" ht="13.2" x14ac:dyDescent="0.25">
      <c r="A201" s="7" t="s">
        <v>721</v>
      </c>
      <c r="B201" s="7" t="s">
        <v>722</v>
      </c>
      <c r="C201" s="7" t="s">
        <v>723</v>
      </c>
      <c r="D201" s="6"/>
      <c r="E201" s="7" t="s">
        <v>724</v>
      </c>
      <c r="F201" s="7" t="s">
        <v>722</v>
      </c>
      <c r="G201" s="6"/>
      <c r="H201" s="6" t="str">
        <f>_xll.BDP($A201,"IPO_OFFER_PX_TO_LAST_CLOSE_%_CHG",$A$1,$A$2)</f>
        <v>#N/A N/A</v>
      </c>
      <c r="I201" s="6">
        <f>_xll.BDP($A201,"IPO_OFFER_PX_TO_1ST_OPEN_%_CHG",$A$1,$A$2)</f>
        <v>0.625</v>
      </c>
      <c r="J201" s="6">
        <v>10</v>
      </c>
      <c r="K201" s="6">
        <v>6000000</v>
      </c>
      <c r="L201" s="7"/>
      <c r="M201" s="7"/>
      <c r="N201" s="7"/>
    </row>
    <row r="202" spans="1:14" s="4" customFormat="1" ht="13.2" x14ac:dyDescent="0.25">
      <c r="A202" s="7" t="s">
        <v>725</v>
      </c>
      <c r="B202" s="7" t="s">
        <v>726</v>
      </c>
      <c r="C202" s="7" t="s">
        <v>727</v>
      </c>
      <c r="D202" s="6"/>
      <c r="E202" s="7" t="s">
        <v>728</v>
      </c>
      <c r="F202" s="7" t="s">
        <v>726</v>
      </c>
      <c r="G202" s="6"/>
      <c r="H202" s="6" t="str">
        <f>_xll.BDP($A202,"IPO_OFFER_PX_TO_LAST_CLOSE_%_CHG",$A$1,$A$2)</f>
        <v>#N/A N/A</v>
      </c>
      <c r="I202" s="6">
        <f>_xll.BDP($A202,"IPO_OFFER_PX_TO_1ST_OPEN_%_CHG",$A$1,$A$2)</f>
        <v>0</v>
      </c>
      <c r="J202" s="6">
        <v>10</v>
      </c>
      <c r="K202" s="6">
        <v>4000000</v>
      </c>
      <c r="L202" s="7"/>
      <c r="M202" s="7"/>
      <c r="N202" s="7"/>
    </row>
    <row r="203" spans="1:14" s="4" customFormat="1" ht="13.2" x14ac:dyDescent="0.25">
      <c r="A203" s="7" t="s">
        <v>729</v>
      </c>
      <c r="B203" s="7" t="s">
        <v>730</v>
      </c>
      <c r="C203" s="7" t="s">
        <v>727</v>
      </c>
      <c r="D203" s="6"/>
      <c r="E203" s="7" t="s">
        <v>731</v>
      </c>
      <c r="F203" s="7" t="s">
        <v>730</v>
      </c>
      <c r="G203" s="6"/>
      <c r="H203" s="6" t="str">
        <f>_xll.BDP($A203,"IPO_OFFER_PX_TO_LAST_CLOSE_%_CHG",$A$1,$A$2)</f>
        <v>#N/A N/A</v>
      </c>
      <c r="I203" s="6">
        <f>_xll.BDP($A203,"IPO_OFFER_PX_TO_1ST_OPEN_%_CHG",$A$1,$A$2)</f>
        <v>200</v>
      </c>
      <c r="J203" s="6">
        <v>25</v>
      </c>
      <c r="K203" s="6">
        <v>8000000</v>
      </c>
      <c r="L203" s="7"/>
      <c r="M203" s="7"/>
      <c r="N203" s="7"/>
    </row>
    <row r="204" spans="1:14" s="4" customFormat="1" ht="13.2" x14ac:dyDescent="0.25">
      <c r="A204" s="7" t="s">
        <v>732</v>
      </c>
      <c r="B204" s="7" t="s">
        <v>733</v>
      </c>
      <c r="C204" s="7" t="s">
        <v>734</v>
      </c>
      <c r="D204" s="6">
        <v>130.58000000000001</v>
      </c>
      <c r="E204" s="7" t="s">
        <v>735</v>
      </c>
      <c r="F204" s="7" t="s">
        <v>733</v>
      </c>
      <c r="G204" s="6">
        <v>27550613252.600006</v>
      </c>
      <c r="H204" s="6">
        <f>_xll.BDP($A204,"IPO_OFFER_PX_TO_LAST_CLOSE_%_CHG",$A$1,$A$2)</f>
        <v>1641.067</v>
      </c>
      <c r="I204" s="6">
        <f>_xll.BDP($A204,"IPO_OFFER_PX_TO_1ST_OPEN_%_CHG",$A$1,$A$2)</f>
        <v>26.66667</v>
      </c>
      <c r="J204" s="6">
        <v>15</v>
      </c>
      <c r="K204" s="6">
        <v>28170000</v>
      </c>
      <c r="L204" s="7" t="s">
        <v>736</v>
      </c>
      <c r="M204" s="7" t="s">
        <v>737</v>
      </c>
      <c r="N204" s="7" t="s">
        <v>737</v>
      </c>
    </row>
    <row r="205" spans="1:14" s="4" customFormat="1" ht="13.2" x14ac:dyDescent="0.25">
      <c r="A205" s="7" t="s">
        <v>738</v>
      </c>
      <c r="B205" s="7" t="s">
        <v>739</v>
      </c>
      <c r="C205" s="7" t="s">
        <v>734</v>
      </c>
      <c r="D205" s="6"/>
      <c r="E205" s="7" t="s">
        <v>740</v>
      </c>
      <c r="F205" s="7" t="s">
        <v>739</v>
      </c>
      <c r="G205" s="6"/>
      <c r="H205" s="6" t="str">
        <f>_xll.BDP($A205,"IPO_OFFER_PX_TO_LAST_CLOSE_%_CHG",$A$1,$A$2)</f>
        <v>#N/A N/A</v>
      </c>
      <c r="I205" s="6">
        <f>_xll.BDP($A205,"IPO_OFFER_PX_TO_1ST_OPEN_%_CHG",$A$1,$A$2)</f>
        <v>5.8333329999999997</v>
      </c>
      <c r="J205" s="6">
        <v>15</v>
      </c>
      <c r="K205" s="6">
        <v>28170000</v>
      </c>
      <c r="L205" s="7"/>
      <c r="M205" s="7"/>
      <c r="N205" s="7"/>
    </row>
    <row r="206" spans="1:14" s="4" customFormat="1" ht="13.2" x14ac:dyDescent="0.25">
      <c r="A206" s="7" t="s">
        <v>741</v>
      </c>
      <c r="B206" s="7" t="s">
        <v>742</v>
      </c>
      <c r="C206" s="7" t="s">
        <v>734</v>
      </c>
      <c r="D206" s="6"/>
      <c r="E206" s="7" t="s">
        <v>743</v>
      </c>
      <c r="F206" s="7" t="s">
        <v>742</v>
      </c>
      <c r="G206" s="6"/>
      <c r="H206" s="6" t="str">
        <f>_xll.BDP($A206,"IPO_OFFER_PX_TO_LAST_CLOSE_%_CHG",$A$1,$A$2)</f>
        <v>#N/A N/A</v>
      </c>
      <c r="I206" s="6">
        <f>_xll.BDP($A206,"IPO_OFFER_PX_TO_1ST_OPEN_%_CHG",$A$1,$A$2)</f>
        <v>0</v>
      </c>
      <c r="J206" s="6">
        <v>8</v>
      </c>
      <c r="K206" s="6">
        <v>3800000</v>
      </c>
      <c r="L206" s="7"/>
      <c r="M206" s="7"/>
      <c r="N206" s="7"/>
    </row>
    <row r="207" spans="1:14" s="4" customFormat="1" ht="13.2" x14ac:dyDescent="0.25">
      <c r="A207" s="7" t="s">
        <v>744</v>
      </c>
      <c r="B207" s="7" t="s">
        <v>745</v>
      </c>
      <c r="C207" s="7" t="s">
        <v>746</v>
      </c>
      <c r="D207" s="6"/>
      <c r="E207" s="7" t="s">
        <v>747</v>
      </c>
      <c r="F207" s="7" t="s">
        <v>745</v>
      </c>
      <c r="G207" s="6"/>
      <c r="H207" s="6" t="str">
        <f>_xll.BDP($A207,"IPO_OFFER_PX_TO_LAST_CLOSE_%_CHG",$A$1,$A$2)</f>
        <v>#N/A N/A</v>
      </c>
      <c r="I207" s="6">
        <f>_xll.BDP($A207,"IPO_OFFER_PX_TO_1ST_OPEN_%_CHG",$A$1,$A$2)</f>
        <v>14.58333</v>
      </c>
      <c r="J207" s="6">
        <v>12</v>
      </c>
      <c r="K207" s="6">
        <v>4000000</v>
      </c>
      <c r="L207" s="7"/>
      <c r="M207" s="7"/>
      <c r="N207" s="7"/>
    </row>
    <row r="208" spans="1:14" s="4" customFormat="1" ht="13.2" x14ac:dyDescent="0.25">
      <c r="A208" s="7" t="s">
        <v>748</v>
      </c>
      <c r="B208" s="7" t="s">
        <v>749</v>
      </c>
      <c r="C208" s="7" t="s">
        <v>746</v>
      </c>
      <c r="D208" s="6"/>
      <c r="E208" s="7" t="s">
        <v>750</v>
      </c>
      <c r="F208" s="7" t="s">
        <v>749</v>
      </c>
      <c r="G208" s="6"/>
      <c r="H208" s="6" t="str">
        <f>_xll.BDP($A208,"IPO_OFFER_PX_TO_LAST_CLOSE_%_CHG",$A$1,$A$2)</f>
        <v>#N/A N/A</v>
      </c>
      <c r="I208" s="6">
        <f>_xll.BDP($A208,"IPO_OFFER_PX_TO_1ST_OPEN_%_CHG",$A$1,$A$2)</f>
        <v>39.13044</v>
      </c>
      <c r="J208" s="6">
        <v>23</v>
      </c>
      <c r="K208" s="6">
        <v>5000000</v>
      </c>
      <c r="L208" s="7"/>
      <c r="M208" s="7"/>
      <c r="N208" s="7"/>
    </row>
    <row r="209" spans="1:14" s="4" customFormat="1" ht="13.2" x14ac:dyDescent="0.25">
      <c r="A209" s="7" t="s">
        <v>751</v>
      </c>
      <c r="B209" s="7" t="s">
        <v>752</v>
      </c>
      <c r="C209" s="7" t="s">
        <v>753</v>
      </c>
      <c r="D209" s="6"/>
      <c r="E209" s="7" t="s">
        <v>754</v>
      </c>
      <c r="F209" s="7" t="s">
        <v>752</v>
      </c>
      <c r="G209" s="6"/>
      <c r="H209" s="6" t="str">
        <f>_xll.BDP($A209,"IPO_OFFER_PX_TO_LAST_CLOSE_%_CHG",$A$1,$A$2)</f>
        <v>#N/A N/A</v>
      </c>
      <c r="I209" s="6">
        <f>_xll.BDP($A209,"IPO_OFFER_PX_TO_1ST_OPEN_%_CHG",$A$1,$A$2)</f>
        <v>5.6818179999999998</v>
      </c>
      <c r="J209" s="6">
        <v>22</v>
      </c>
      <c r="K209" s="6">
        <v>7000000</v>
      </c>
      <c r="L209" s="7"/>
      <c r="M209" s="7"/>
      <c r="N209" s="7"/>
    </row>
    <row r="210" spans="1:14" s="4" customFormat="1" ht="13.2" x14ac:dyDescent="0.25">
      <c r="A210" s="7" t="s">
        <v>755</v>
      </c>
      <c r="B210" s="7" t="s">
        <v>756</v>
      </c>
      <c r="C210" s="7" t="s">
        <v>753</v>
      </c>
      <c r="D210" s="6"/>
      <c r="E210" s="7" t="s">
        <v>757</v>
      </c>
      <c r="F210" s="7" t="s">
        <v>756</v>
      </c>
      <c r="G210" s="6"/>
      <c r="H210" s="6" t="str">
        <f>_xll.BDP($A210,"IPO_OFFER_PX_TO_LAST_CLOSE_%_CHG",$A$1,$A$2)</f>
        <v>#N/A N/A</v>
      </c>
      <c r="I210" s="6">
        <f>_xll.BDP($A210,"IPO_OFFER_PX_TO_1ST_OPEN_%_CHG",$A$1,$A$2)</f>
        <v>6.5789479999999996</v>
      </c>
      <c r="J210" s="6">
        <v>19</v>
      </c>
      <c r="K210" s="6">
        <v>4000000</v>
      </c>
      <c r="L210" s="7"/>
      <c r="M210" s="7"/>
      <c r="N210" s="7"/>
    </row>
    <row r="211" spans="1:14" s="4" customFormat="1" ht="13.2" x14ac:dyDescent="0.25">
      <c r="A211" s="7" t="s">
        <v>758</v>
      </c>
      <c r="B211" s="7" t="s">
        <v>759</v>
      </c>
      <c r="C211" s="7" t="s">
        <v>760</v>
      </c>
      <c r="D211" s="6"/>
      <c r="E211" s="7" t="s">
        <v>761</v>
      </c>
      <c r="F211" s="7" t="s">
        <v>759</v>
      </c>
      <c r="G211" s="6"/>
      <c r="H211" s="6" t="str">
        <f>_xll.BDP($A211,"IPO_OFFER_PX_TO_LAST_CLOSE_%_CHG",$A$1,$A$2)</f>
        <v>#N/A N/A</v>
      </c>
      <c r="I211" s="6">
        <f>_xll.BDP($A211,"IPO_OFFER_PX_TO_1ST_OPEN_%_CHG",$A$1,$A$2)</f>
        <v>0</v>
      </c>
      <c r="J211" s="6">
        <v>13</v>
      </c>
      <c r="K211" s="6">
        <v>12500000</v>
      </c>
      <c r="L211" s="7"/>
      <c r="M211" s="7"/>
      <c r="N211" s="7"/>
    </row>
    <row r="212" spans="1:14" s="4" customFormat="1" ht="13.2" x14ac:dyDescent="0.25">
      <c r="A212" s="7" t="s">
        <v>762</v>
      </c>
      <c r="B212" s="7" t="s">
        <v>763</v>
      </c>
      <c r="C212" s="7" t="s">
        <v>764</v>
      </c>
      <c r="D212" s="6"/>
      <c r="E212" s="7" t="s">
        <v>765</v>
      </c>
      <c r="F212" s="7" t="s">
        <v>763</v>
      </c>
      <c r="G212" s="6"/>
      <c r="H212" s="6" t="str">
        <f>_xll.BDP($A212,"IPO_OFFER_PX_TO_LAST_CLOSE_%_CHG",$A$1,$A$2)</f>
        <v>#N/A N/A</v>
      </c>
      <c r="I212" s="6">
        <f>_xll.BDP($A212,"IPO_OFFER_PX_TO_1ST_OPEN_%_CHG",$A$1,$A$2)</f>
        <v>0</v>
      </c>
      <c r="J212" s="6">
        <v>7</v>
      </c>
      <c r="K212" s="6">
        <v>3300000</v>
      </c>
      <c r="L212" s="7"/>
      <c r="M212" s="7"/>
      <c r="N212" s="7"/>
    </row>
    <row r="213" spans="1:14" s="4" customFormat="1" ht="13.2" x14ac:dyDescent="0.25">
      <c r="A213" s="7" t="s">
        <v>766</v>
      </c>
      <c r="B213" s="7" t="s">
        <v>767</v>
      </c>
      <c r="C213" s="7" t="s">
        <v>764</v>
      </c>
      <c r="D213" s="6">
        <v>5.6</v>
      </c>
      <c r="E213" s="7" t="s">
        <v>768</v>
      </c>
      <c r="F213" s="7" t="s">
        <v>767</v>
      </c>
      <c r="G213" s="6">
        <v>35634244.799999997</v>
      </c>
      <c r="H213" s="6">
        <f>_xll.BDP($A213,"IPO_OFFER_PX_TO_LAST_CLOSE_%_CHG",$A$1,$A$2)</f>
        <v>-98.444450000000003</v>
      </c>
      <c r="I213" s="6">
        <f>_xll.BDP($A213,"IPO_OFFER_PX_TO_1ST_OPEN_%_CHG",$A$1,$A$2)</f>
        <v>12.5</v>
      </c>
      <c r="J213" s="6">
        <v>10</v>
      </c>
      <c r="K213" s="6">
        <v>5750000</v>
      </c>
      <c r="L213" s="7" t="s">
        <v>280</v>
      </c>
      <c r="M213" s="7" t="s">
        <v>609</v>
      </c>
      <c r="N213" s="7" t="s">
        <v>769</v>
      </c>
    </row>
    <row r="214" spans="1:14" s="4" customFormat="1" ht="13.2" x14ac:dyDescent="0.25">
      <c r="A214" s="7" t="s">
        <v>770</v>
      </c>
      <c r="B214" s="7" t="s">
        <v>771</v>
      </c>
      <c r="C214" s="7" t="s">
        <v>772</v>
      </c>
      <c r="D214" s="6"/>
      <c r="E214" s="7" t="s">
        <v>773</v>
      </c>
      <c r="F214" s="7" t="s">
        <v>771</v>
      </c>
      <c r="G214" s="6"/>
      <c r="H214" s="6" t="str">
        <f>_xll.BDP($A214,"IPO_OFFER_PX_TO_LAST_CLOSE_%_CHG",$A$1,$A$2)</f>
        <v>#N/A N/A</v>
      </c>
      <c r="I214" s="6">
        <f>_xll.BDP($A214,"IPO_OFFER_PX_TO_1ST_OPEN_%_CHG",$A$1,$A$2)</f>
        <v>0.28409089999999998</v>
      </c>
      <c r="J214" s="6">
        <v>11</v>
      </c>
      <c r="K214" s="6">
        <v>8000000</v>
      </c>
      <c r="L214" s="7"/>
      <c r="M214" s="7"/>
      <c r="N214" s="7"/>
    </row>
    <row r="215" spans="1:14" s="4" customFormat="1" ht="13.2" x14ac:dyDescent="0.25">
      <c r="A215" s="7" t="s">
        <v>774</v>
      </c>
      <c r="B215" s="7" t="s">
        <v>775</v>
      </c>
      <c r="C215" s="7" t="s">
        <v>772</v>
      </c>
      <c r="D215" s="6"/>
      <c r="E215" s="7" t="s">
        <v>776</v>
      </c>
      <c r="F215" s="7" t="s">
        <v>775</v>
      </c>
      <c r="G215" s="6"/>
      <c r="H215" s="6" t="str">
        <f>_xll.BDP($A215,"IPO_OFFER_PX_TO_LAST_CLOSE_%_CHG",$A$1,$A$2)</f>
        <v>#N/A N/A</v>
      </c>
      <c r="I215" s="6">
        <f>_xll.BDP($A215,"IPO_OFFER_PX_TO_1ST_OPEN_%_CHG",$A$1,$A$2)</f>
        <v>15</v>
      </c>
      <c r="J215" s="6">
        <v>10</v>
      </c>
      <c r="K215" s="6">
        <v>11000000</v>
      </c>
      <c r="L215" s="7"/>
      <c r="M215" s="7"/>
      <c r="N215" s="7"/>
    </row>
    <row r="216" spans="1:14" s="4" customFormat="1" ht="13.2" x14ac:dyDescent="0.25">
      <c r="A216" s="7" t="s">
        <v>777</v>
      </c>
      <c r="B216" s="7" t="s">
        <v>778</v>
      </c>
      <c r="C216" s="7" t="s">
        <v>772</v>
      </c>
      <c r="D216" s="6"/>
      <c r="E216" s="7" t="s">
        <v>779</v>
      </c>
      <c r="F216" s="7" t="s">
        <v>778</v>
      </c>
      <c r="G216" s="6"/>
      <c r="H216" s="6" t="str">
        <f>_xll.BDP($A216,"IPO_OFFER_PX_TO_LAST_CLOSE_%_CHG",$A$1,$A$2)</f>
        <v>#N/A N/A</v>
      </c>
      <c r="I216" s="6">
        <f>_xll.BDP($A216,"IPO_OFFER_PX_TO_1ST_OPEN_%_CHG",$A$1,$A$2)</f>
        <v>100</v>
      </c>
      <c r="J216" s="6">
        <v>20</v>
      </c>
      <c r="K216" s="6">
        <v>5000000</v>
      </c>
      <c r="L216" s="7"/>
      <c r="M216" s="7"/>
      <c r="N216" s="7"/>
    </row>
    <row r="217" spans="1:14" s="4" customFormat="1" ht="13.2" x14ac:dyDescent="0.25">
      <c r="A217" s="7" t="s">
        <v>780</v>
      </c>
      <c r="B217" s="7" t="s">
        <v>781</v>
      </c>
      <c r="C217" s="7" t="s">
        <v>772</v>
      </c>
      <c r="D217" s="6"/>
      <c r="E217" s="7" t="s">
        <v>782</v>
      </c>
      <c r="F217" s="7" t="s">
        <v>781</v>
      </c>
      <c r="G217" s="6"/>
      <c r="H217" s="6" t="str">
        <f>_xll.BDP($A217,"IPO_OFFER_PX_TO_LAST_CLOSE_%_CHG",$A$1,$A$2)</f>
        <v>#N/A N/A</v>
      </c>
      <c r="I217" s="6">
        <f>_xll.BDP($A217,"IPO_OFFER_PX_TO_1ST_OPEN_%_CHG",$A$1,$A$2)</f>
        <v>-1.0416669999999999</v>
      </c>
      <c r="J217" s="6">
        <v>12</v>
      </c>
      <c r="K217" s="6">
        <v>3500000</v>
      </c>
      <c r="L217" s="7"/>
      <c r="M217" s="7"/>
      <c r="N217" s="7"/>
    </row>
    <row r="218" spans="1:14" s="4" customFormat="1" ht="13.2" x14ac:dyDescent="0.25">
      <c r="A218" s="7" t="s">
        <v>783</v>
      </c>
      <c r="B218" s="7" t="s">
        <v>784</v>
      </c>
      <c r="C218" s="7" t="s">
        <v>785</v>
      </c>
      <c r="D218" s="6"/>
      <c r="E218" s="7" t="s">
        <v>786</v>
      </c>
      <c r="F218" s="7" t="s">
        <v>784</v>
      </c>
      <c r="G218" s="6"/>
      <c r="H218" s="6" t="str">
        <f>_xll.BDP($A218,"IPO_OFFER_PX_TO_LAST_CLOSE_%_CHG",$A$1,$A$2)</f>
        <v>#N/A N/A</v>
      </c>
      <c r="I218" s="6">
        <f>_xll.BDP($A218,"IPO_OFFER_PX_TO_1ST_OPEN_%_CHG",$A$1,$A$2)</f>
        <v>2.5</v>
      </c>
      <c r="J218" s="6">
        <v>10</v>
      </c>
      <c r="K218" s="6">
        <v>357000</v>
      </c>
      <c r="L218" s="7"/>
      <c r="M218" s="7"/>
      <c r="N218" s="7"/>
    </row>
    <row r="219" spans="1:14" s="4" customFormat="1" ht="13.2" x14ac:dyDescent="0.25">
      <c r="A219" s="7" t="s">
        <v>787</v>
      </c>
      <c r="B219" s="7" t="s">
        <v>788</v>
      </c>
      <c r="C219" s="7" t="s">
        <v>789</v>
      </c>
      <c r="D219" s="6"/>
      <c r="E219" s="7" t="s">
        <v>790</v>
      </c>
      <c r="F219" s="7" t="s">
        <v>788</v>
      </c>
      <c r="G219" s="6"/>
      <c r="H219" s="6" t="str">
        <f>_xll.BDP($A219,"IPO_OFFER_PX_TO_LAST_CLOSE_%_CHG",$A$1,$A$2)</f>
        <v>#N/A N/A</v>
      </c>
      <c r="I219" s="6">
        <f>_xll.BDP($A219,"IPO_OFFER_PX_TO_1ST_OPEN_%_CHG",$A$1,$A$2)</f>
        <v>28.125</v>
      </c>
      <c r="J219" s="6">
        <v>8</v>
      </c>
      <c r="K219" s="6">
        <v>4200000</v>
      </c>
      <c r="L219" s="7"/>
      <c r="M219" s="7"/>
      <c r="N219" s="7"/>
    </row>
    <row r="220" spans="1:14" s="4" customFormat="1" ht="13.2" x14ac:dyDescent="0.25">
      <c r="A220" s="7" t="s">
        <v>791</v>
      </c>
      <c r="B220" s="7" t="s">
        <v>792</v>
      </c>
      <c r="C220" s="7" t="s">
        <v>793</v>
      </c>
      <c r="D220" s="6"/>
      <c r="E220" s="7" t="s">
        <v>794</v>
      </c>
      <c r="F220" s="7" t="s">
        <v>792</v>
      </c>
      <c r="G220" s="6"/>
      <c r="H220" s="6" t="str">
        <f>_xll.BDP($A220,"IPO_OFFER_PX_TO_LAST_CLOSE_%_CHG",$A$1,$A$2)</f>
        <v>#N/A N/A</v>
      </c>
      <c r="I220" s="6">
        <f>_xll.BDP($A220,"IPO_OFFER_PX_TO_1ST_OPEN_%_CHG",$A$1,$A$2)</f>
        <v>0.78125</v>
      </c>
      <c r="J220" s="6">
        <v>8</v>
      </c>
      <c r="K220" s="6">
        <v>7000000</v>
      </c>
      <c r="L220" s="7"/>
      <c r="M220" s="7"/>
      <c r="N220" s="7"/>
    </row>
    <row r="221" spans="1:14" s="4" customFormat="1" ht="13.2" x14ac:dyDescent="0.25">
      <c r="A221" s="7" t="s">
        <v>795</v>
      </c>
      <c r="B221" s="7" t="s">
        <v>796</v>
      </c>
      <c r="C221" s="7" t="s">
        <v>793</v>
      </c>
      <c r="D221" s="6"/>
      <c r="E221" s="7" t="s">
        <v>797</v>
      </c>
      <c r="F221" s="7" t="s">
        <v>796</v>
      </c>
      <c r="G221" s="6"/>
      <c r="H221" s="6" t="str">
        <f>_xll.BDP($A221,"IPO_OFFER_PX_TO_LAST_CLOSE_%_CHG",$A$1,$A$2)</f>
        <v>#N/A N/A</v>
      </c>
      <c r="I221" s="6">
        <f>_xll.BDP($A221,"IPO_OFFER_PX_TO_1ST_OPEN_%_CHG",$A$1,$A$2)</f>
        <v>0.66964290000000004</v>
      </c>
      <c r="J221" s="6">
        <v>7</v>
      </c>
      <c r="K221" s="6">
        <v>5000000</v>
      </c>
      <c r="L221" s="7"/>
      <c r="M221" s="7"/>
      <c r="N221" s="7"/>
    </row>
    <row r="222" spans="1:14" s="4" customFormat="1" ht="13.2" x14ac:dyDescent="0.25">
      <c r="A222" s="7" t="s">
        <v>798</v>
      </c>
      <c r="B222" s="7" t="s">
        <v>799</v>
      </c>
      <c r="C222" s="7" t="s">
        <v>793</v>
      </c>
      <c r="D222" s="6"/>
      <c r="E222" s="7" t="s">
        <v>800</v>
      </c>
      <c r="F222" s="7" t="s">
        <v>799</v>
      </c>
      <c r="G222" s="6"/>
      <c r="H222" s="6" t="str">
        <f>_xll.BDP($A222,"IPO_OFFER_PX_TO_LAST_CLOSE_%_CHG",$A$1,$A$2)</f>
        <v>#N/A N/A</v>
      </c>
      <c r="I222" s="6">
        <f>_xll.BDP($A222,"IPO_OFFER_PX_TO_1ST_OPEN_%_CHG",$A$1,$A$2)</f>
        <v>25</v>
      </c>
      <c r="J222" s="6">
        <v>8</v>
      </c>
      <c r="K222" s="6">
        <v>6000000</v>
      </c>
      <c r="L222" s="7"/>
      <c r="M222" s="7"/>
      <c r="N222" s="7"/>
    </row>
    <row r="223" spans="1:14" s="4" customFormat="1" ht="13.2" x14ac:dyDescent="0.25">
      <c r="A223" s="7" t="s">
        <v>801</v>
      </c>
      <c r="B223" s="7" t="s">
        <v>802</v>
      </c>
      <c r="C223" s="7" t="s">
        <v>803</v>
      </c>
      <c r="D223" s="6"/>
      <c r="E223" s="7" t="s">
        <v>804</v>
      </c>
      <c r="F223" s="7" t="s">
        <v>802</v>
      </c>
      <c r="G223" s="6"/>
      <c r="H223" s="6" t="str">
        <f>_xll.BDP($A223,"IPO_OFFER_PX_TO_LAST_CLOSE_%_CHG",$A$1,$A$2)</f>
        <v>#N/A N/A</v>
      </c>
      <c r="I223" s="6">
        <f>_xll.BDP($A223,"IPO_OFFER_PX_TO_1ST_OPEN_%_CHG",$A$1,$A$2)</f>
        <v>0.2232143</v>
      </c>
      <c r="J223" s="6">
        <v>14</v>
      </c>
      <c r="K223" s="6">
        <v>10000000</v>
      </c>
      <c r="L223" s="7"/>
      <c r="M223" s="7"/>
      <c r="N223" s="7"/>
    </row>
    <row r="224" spans="1:14" s="4" customFormat="1" ht="13.2" x14ac:dyDescent="0.25">
      <c r="A224" s="7" t="s">
        <v>805</v>
      </c>
      <c r="B224" s="7" t="s">
        <v>806</v>
      </c>
      <c r="C224" s="7" t="s">
        <v>807</v>
      </c>
      <c r="D224" s="6"/>
      <c r="E224" s="7" t="s">
        <v>808</v>
      </c>
      <c r="F224" s="7" t="s">
        <v>806</v>
      </c>
      <c r="G224" s="6"/>
      <c r="H224" s="6" t="str">
        <f>_xll.BDP($A224,"IPO_OFFER_PX_TO_LAST_CLOSE_%_CHG",$A$1,$A$2)</f>
        <v>#N/A N/A</v>
      </c>
      <c r="I224" s="6">
        <f>_xll.BDP($A224,"IPO_OFFER_PX_TO_1ST_OPEN_%_CHG",$A$1,$A$2)</f>
        <v>57.142859999999999</v>
      </c>
      <c r="J224" s="6">
        <v>14</v>
      </c>
      <c r="K224" s="6">
        <v>3600000</v>
      </c>
      <c r="L224" s="7"/>
      <c r="M224" s="7"/>
      <c r="N224" s="7"/>
    </row>
    <row r="225" spans="1:14" s="4" customFormat="1" ht="13.2" x14ac:dyDescent="0.25">
      <c r="A225" s="7" t="s">
        <v>809</v>
      </c>
      <c r="B225" s="7" t="s">
        <v>810</v>
      </c>
      <c r="C225" s="7" t="s">
        <v>807</v>
      </c>
      <c r="D225" s="6"/>
      <c r="E225" s="7" t="s">
        <v>811</v>
      </c>
      <c r="F225" s="7" t="s">
        <v>810</v>
      </c>
      <c r="G225" s="6"/>
      <c r="H225" s="6" t="str">
        <f>_xll.BDP($A225,"IPO_OFFER_PX_TO_LAST_CLOSE_%_CHG",$A$1,$A$2)</f>
        <v>#N/A N/A</v>
      </c>
      <c r="I225" s="6">
        <f>_xll.BDP($A225,"IPO_OFFER_PX_TO_1ST_OPEN_%_CHG",$A$1,$A$2)</f>
        <v>3.5714290000000002</v>
      </c>
      <c r="J225" s="6">
        <v>7</v>
      </c>
      <c r="K225" s="6">
        <v>5000000</v>
      </c>
      <c r="L225" s="7"/>
      <c r="M225" s="7"/>
      <c r="N225" s="7"/>
    </row>
    <row r="226" spans="1:14" s="4" customFormat="1" ht="13.2" x14ac:dyDescent="0.25">
      <c r="A226" s="7" t="s">
        <v>812</v>
      </c>
      <c r="B226" s="7" t="s">
        <v>813</v>
      </c>
      <c r="C226" s="7" t="s">
        <v>814</v>
      </c>
      <c r="D226" s="6">
        <v>86.7</v>
      </c>
      <c r="E226" s="7" t="s">
        <v>815</v>
      </c>
      <c r="F226" s="7" t="s">
        <v>813</v>
      </c>
      <c r="G226" s="6">
        <v>33978006659.700005</v>
      </c>
      <c r="H226" s="6">
        <f>_xll.BDP($A226,"IPO_OFFER_PX_TO_LAST_CLOSE_%_CHG",$A$1,$A$2)</f>
        <v>441.875</v>
      </c>
      <c r="I226" s="6">
        <f>_xll.BDP($A226,"IPO_OFFER_PX_TO_1ST_OPEN_%_CHG",$A$1,$A$2)</f>
        <v>37.5</v>
      </c>
      <c r="J226" s="6">
        <v>16</v>
      </c>
      <c r="K226" s="6">
        <v>30000000</v>
      </c>
      <c r="L226" s="7" t="s">
        <v>280</v>
      </c>
      <c r="M226" s="7" t="s">
        <v>609</v>
      </c>
      <c r="N226" s="7" t="s">
        <v>769</v>
      </c>
    </row>
    <row r="227" spans="1:14" s="4" customFormat="1" ht="13.2" x14ac:dyDescent="0.25">
      <c r="A227" s="7" t="s">
        <v>816</v>
      </c>
      <c r="B227" s="7" t="s">
        <v>817</v>
      </c>
      <c r="C227" s="7" t="s">
        <v>814</v>
      </c>
      <c r="D227" s="6"/>
      <c r="E227" s="7" t="s">
        <v>818</v>
      </c>
      <c r="F227" s="7" t="s">
        <v>817</v>
      </c>
      <c r="G227" s="6"/>
      <c r="H227" s="6" t="str">
        <f>_xll.BDP($A227,"IPO_OFFER_PX_TO_LAST_CLOSE_%_CHG",$A$1,$A$2)</f>
        <v>#N/A N/A</v>
      </c>
      <c r="I227" s="6">
        <f>_xll.BDP($A227,"IPO_OFFER_PX_TO_1ST_OPEN_%_CHG",$A$1,$A$2)</f>
        <v>39.583329999999997</v>
      </c>
      <c r="J227" s="6">
        <v>12</v>
      </c>
      <c r="K227" s="6">
        <v>4000000</v>
      </c>
      <c r="L227" s="7"/>
      <c r="M227" s="7"/>
      <c r="N227" s="7"/>
    </row>
    <row r="228" spans="1:14" s="4" customFormat="1" ht="13.2" x14ac:dyDescent="0.25">
      <c r="A228" s="7" t="s">
        <v>819</v>
      </c>
      <c r="B228" s="7" t="s">
        <v>820</v>
      </c>
      <c r="C228" s="7" t="s">
        <v>821</v>
      </c>
      <c r="D228" s="6"/>
      <c r="E228" s="7" t="s">
        <v>822</v>
      </c>
      <c r="F228" s="7" t="s">
        <v>820</v>
      </c>
      <c r="G228" s="6"/>
      <c r="H228" s="6" t="str">
        <f>_xll.BDP($A228,"IPO_OFFER_PX_TO_LAST_CLOSE_%_CHG",$A$1,$A$2)</f>
        <v>#N/A N/A</v>
      </c>
      <c r="I228" s="6">
        <f>_xll.BDP($A228,"IPO_OFFER_PX_TO_1ST_OPEN_%_CHG",$A$1,$A$2)</f>
        <v>11.11111</v>
      </c>
      <c r="J228" s="6">
        <v>9</v>
      </c>
      <c r="K228" s="6">
        <v>6250000</v>
      </c>
      <c r="L228" s="7"/>
      <c r="M228" s="7"/>
      <c r="N228" s="7"/>
    </row>
    <row r="229" spans="1:14" s="4" customFormat="1" ht="13.2" x14ac:dyDescent="0.25">
      <c r="A229" s="7" t="s">
        <v>823</v>
      </c>
      <c r="B229" s="7" t="s">
        <v>824</v>
      </c>
      <c r="C229" s="7" t="s">
        <v>821</v>
      </c>
      <c r="D229" s="6"/>
      <c r="E229" s="7" t="s">
        <v>825</v>
      </c>
      <c r="F229" s="7" t="s">
        <v>824</v>
      </c>
      <c r="G229" s="6"/>
      <c r="H229" s="6" t="str">
        <f>_xll.BDP($A229,"IPO_OFFER_PX_TO_LAST_CLOSE_%_CHG",$A$1,$A$2)</f>
        <v>#N/A N/A</v>
      </c>
      <c r="I229" s="6">
        <f>_xll.BDP($A229,"IPO_OFFER_PX_TO_1ST_OPEN_%_CHG",$A$1,$A$2)</f>
        <v>2.1186440000000002</v>
      </c>
      <c r="J229" s="6">
        <v>29.5</v>
      </c>
      <c r="K229" s="6">
        <v>360000000</v>
      </c>
      <c r="L229" s="7"/>
      <c r="M229" s="7"/>
      <c r="N229" s="7"/>
    </row>
    <row r="230" spans="1:14" s="4" customFormat="1" ht="13.2" x14ac:dyDescent="0.25">
      <c r="A230" s="7" t="s">
        <v>826</v>
      </c>
      <c r="B230" s="7" t="s">
        <v>827</v>
      </c>
      <c r="C230" s="7" t="s">
        <v>828</v>
      </c>
      <c r="D230" s="6"/>
      <c r="E230" s="7" t="s">
        <v>829</v>
      </c>
      <c r="F230" s="7" t="s">
        <v>827</v>
      </c>
      <c r="G230" s="6"/>
      <c r="H230" s="6" t="str">
        <f>_xll.BDP($A230,"IPO_OFFER_PX_TO_LAST_CLOSE_%_CHG",$A$1,$A$2)</f>
        <v>#N/A N/A</v>
      </c>
      <c r="I230" s="6">
        <f>_xll.BDP($A230,"IPO_OFFER_PX_TO_1ST_OPEN_%_CHG",$A$1,$A$2)</f>
        <v>0.625</v>
      </c>
      <c r="J230" s="6">
        <v>10</v>
      </c>
      <c r="K230" s="6">
        <v>8000000</v>
      </c>
      <c r="L230" s="7"/>
      <c r="M230" s="7"/>
      <c r="N230" s="7"/>
    </row>
    <row r="231" spans="1:14" s="4" customFormat="1" ht="13.2" x14ac:dyDescent="0.25">
      <c r="A231" s="7" t="s">
        <v>830</v>
      </c>
      <c r="B231" s="7" t="s">
        <v>831</v>
      </c>
      <c r="C231" s="7" t="s">
        <v>832</v>
      </c>
      <c r="D231" s="6"/>
      <c r="E231" s="7" t="s">
        <v>833</v>
      </c>
      <c r="F231" s="7" t="s">
        <v>831</v>
      </c>
      <c r="G231" s="6"/>
      <c r="H231" s="6" t="str">
        <f>_xll.BDP($A231,"IPO_OFFER_PX_TO_LAST_CLOSE_%_CHG",$A$1,$A$2)</f>
        <v>#N/A N/A</v>
      </c>
      <c r="I231" s="6">
        <f>_xll.BDP($A231,"IPO_OFFER_PX_TO_1ST_OPEN_%_CHG",$A$1,$A$2)</f>
        <v>4.8611110000000002</v>
      </c>
      <c r="J231" s="6">
        <v>9</v>
      </c>
      <c r="K231" s="6">
        <v>12000000</v>
      </c>
      <c r="L231" s="7"/>
      <c r="M231" s="7"/>
      <c r="N231" s="7"/>
    </row>
    <row r="232" spans="1:14" s="4" customFormat="1" ht="13.2" x14ac:dyDescent="0.25">
      <c r="A232" s="7" t="s">
        <v>834</v>
      </c>
      <c r="B232" s="7" t="s">
        <v>835</v>
      </c>
      <c r="C232" s="7" t="s">
        <v>832</v>
      </c>
      <c r="D232" s="6"/>
      <c r="E232" s="7" t="s">
        <v>836</v>
      </c>
      <c r="F232" s="7" t="s">
        <v>835</v>
      </c>
      <c r="G232" s="6"/>
      <c r="H232" s="6" t="str">
        <f>_xll.BDP($A232,"IPO_OFFER_PX_TO_LAST_CLOSE_%_CHG",$A$1,$A$2)</f>
        <v>#N/A N/A</v>
      </c>
      <c r="I232" s="6">
        <f>_xll.BDP($A232,"IPO_OFFER_PX_TO_1ST_OPEN_%_CHG",$A$1,$A$2)</f>
        <v>3.75</v>
      </c>
      <c r="J232" s="6">
        <v>10</v>
      </c>
      <c r="K232" s="6">
        <v>4200000</v>
      </c>
      <c r="L232" s="7"/>
      <c r="M232" s="7"/>
      <c r="N232" s="7"/>
    </row>
    <row r="233" spans="1:14" s="4" customFormat="1" ht="13.2" x14ac:dyDescent="0.25">
      <c r="A233" s="7" t="s">
        <v>837</v>
      </c>
      <c r="B233" s="7" t="s">
        <v>838</v>
      </c>
      <c r="C233" s="7" t="s">
        <v>839</v>
      </c>
      <c r="D233" s="6"/>
      <c r="E233" s="7" t="s">
        <v>840</v>
      </c>
      <c r="F233" s="7" t="s">
        <v>838</v>
      </c>
      <c r="G233" s="6"/>
      <c r="H233" s="6" t="str">
        <f>_xll.BDP($A233,"IPO_OFFER_PX_TO_LAST_CLOSE_%_CHG",$A$1,$A$2)</f>
        <v>#N/A N/A</v>
      </c>
      <c r="I233" s="6">
        <f>_xll.BDP($A233,"IPO_OFFER_PX_TO_1ST_OPEN_%_CHG",$A$1,$A$2)</f>
        <v>0</v>
      </c>
      <c r="J233" s="6">
        <v>11</v>
      </c>
      <c r="K233" s="6">
        <v>2950000</v>
      </c>
      <c r="L233" s="7"/>
      <c r="M233" s="7"/>
      <c r="N233" s="7"/>
    </row>
    <row r="234" spans="1:14" s="4" customFormat="1" ht="13.2" x14ac:dyDescent="0.25">
      <c r="A234" s="7" t="s">
        <v>841</v>
      </c>
      <c r="B234" s="7" t="s">
        <v>842</v>
      </c>
      <c r="C234" s="7" t="s">
        <v>839</v>
      </c>
      <c r="D234" s="6"/>
      <c r="E234" s="7" t="s">
        <v>843</v>
      </c>
      <c r="F234" s="7" t="s">
        <v>842</v>
      </c>
      <c r="G234" s="6"/>
      <c r="H234" s="6" t="str">
        <f>_xll.BDP($A234,"IPO_OFFER_PX_TO_LAST_CLOSE_%_CHG",$A$1,$A$2)</f>
        <v>#N/A N/A</v>
      </c>
      <c r="I234" s="6">
        <f>_xll.BDP($A234,"IPO_OFFER_PX_TO_1ST_OPEN_%_CHG",$A$1,$A$2)</f>
        <v>0.65789470000000005</v>
      </c>
      <c r="J234" s="6">
        <v>9.5</v>
      </c>
      <c r="K234" s="6">
        <v>3000000</v>
      </c>
      <c r="L234" s="7"/>
      <c r="M234" s="7"/>
      <c r="N234" s="7"/>
    </row>
    <row r="235" spans="1:14" s="4" customFormat="1" ht="13.2" x14ac:dyDescent="0.25">
      <c r="A235" s="7" t="s">
        <v>844</v>
      </c>
      <c r="B235" s="7" t="s">
        <v>845</v>
      </c>
      <c r="C235" s="7" t="s">
        <v>846</v>
      </c>
      <c r="D235" s="6"/>
      <c r="E235" s="7" t="s">
        <v>847</v>
      </c>
      <c r="F235" s="7" t="s">
        <v>845</v>
      </c>
      <c r="G235" s="6"/>
      <c r="H235" s="6" t="str">
        <f>_xll.BDP($A235,"IPO_OFFER_PX_TO_LAST_CLOSE_%_CHG",$A$1,$A$2)</f>
        <v>#N/A N/A</v>
      </c>
      <c r="I235" s="6">
        <f>_xll.BDP($A235,"IPO_OFFER_PX_TO_1ST_OPEN_%_CHG",$A$1,$A$2)</f>
        <v>74.264709999999994</v>
      </c>
      <c r="J235" s="6">
        <v>17</v>
      </c>
      <c r="K235" s="6">
        <v>4500000</v>
      </c>
      <c r="L235" s="7"/>
      <c r="M235" s="7"/>
      <c r="N235" s="7"/>
    </row>
    <row r="236" spans="1:14" s="4" customFormat="1" ht="13.2" x14ac:dyDescent="0.25">
      <c r="A236" s="7" t="s">
        <v>848</v>
      </c>
      <c r="B236" s="7" t="s">
        <v>849</v>
      </c>
      <c r="C236" s="7" t="s">
        <v>850</v>
      </c>
      <c r="D236" s="6"/>
      <c r="E236" s="7" t="s">
        <v>851</v>
      </c>
      <c r="F236" s="7" t="s">
        <v>849</v>
      </c>
      <c r="G236" s="6"/>
      <c r="H236" s="6" t="str">
        <f>_xll.BDP($A236,"IPO_OFFER_PX_TO_LAST_CLOSE_%_CHG",$A$1,$A$2)</f>
        <v>#N/A N/A</v>
      </c>
      <c r="I236" s="6">
        <f>_xll.BDP($A236,"IPO_OFFER_PX_TO_1ST_OPEN_%_CHG",$A$1,$A$2)</f>
        <v>-6.25</v>
      </c>
      <c r="J236" s="6">
        <v>8</v>
      </c>
      <c r="K236" s="6">
        <v>4000000</v>
      </c>
      <c r="L236" s="7"/>
      <c r="M236" s="7"/>
      <c r="N236" s="7"/>
    </row>
    <row r="237" spans="1:14" s="4" customFormat="1" ht="13.2" x14ac:dyDescent="0.25">
      <c r="A237" s="7" t="s">
        <v>852</v>
      </c>
      <c r="B237" s="7" t="s">
        <v>853</v>
      </c>
      <c r="C237" s="7" t="s">
        <v>850</v>
      </c>
      <c r="D237" s="6"/>
      <c r="E237" s="7" t="s">
        <v>854</v>
      </c>
      <c r="F237" s="7" t="s">
        <v>853</v>
      </c>
      <c r="G237" s="6"/>
      <c r="H237" s="6" t="str">
        <f>_xll.BDP($A237,"IPO_OFFER_PX_TO_LAST_CLOSE_%_CHG",$A$1,$A$2)</f>
        <v>#N/A N/A</v>
      </c>
      <c r="I237" s="6">
        <f>_xll.BDP($A237,"IPO_OFFER_PX_TO_1ST_OPEN_%_CHG",$A$1,$A$2)</f>
        <v>1.0416669999999999</v>
      </c>
      <c r="J237" s="6">
        <v>6</v>
      </c>
      <c r="K237" s="6">
        <v>1300000</v>
      </c>
      <c r="L237" s="7"/>
      <c r="M237" s="7"/>
      <c r="N237" s="7"/>
    </row>
    <row r="238" spans="1:14" s="4" customFormat="1" ht="13.2" x14ac:dyDescent="0.25">
      <c r="A238" s="7" t="s">
        <v>855</v>
      </c>
      <c r="B238" s="7" t="s">
        <v>856</v>
      </c>
      <c r="C238" s="7" t="s">
        <v>857</v>
      </c>
      <c r="D238" s="6"/>
      <c r="E238" s="7" t="s">
        <v>858</v>
      </c>
      <c r="F238" s="7" t="s">
        <v>856</v>
      </c>
      <c r="G238" s="6"/>
      <c r="H238" s="6" t="str">
        <f>_xll.BDP($A238,"IPO_OFFER_PX_TO_LAST_CLOSE_%_CHG",$A$1,$A$2)</f>
        <v>#N/A N/A</v>
      </c>
      <c r="I238" s="6">
        <f>_xll.BDP($A238,"IPO_OFFER_PX_TO_1ST_OPEN_%_CHG",$A$1,$A$2)</f>
        <v>-0.89285709999999996</v>
      </c>
      <c r="J238" s="6">
        <v>14</v>
      </c>
      <c r="K238" s="6">
        <v>12000000</v>
      </c>
      <c r="L238" s="7"/>
      <c r="M238" s="7"/>
      <c r="N238" s="7"/>
    </row>
    <row r="239" spans="1:14" s="4" customFormat="1" ht="13.2" x14ac:dyDescent="0.25">
      <c r="A239" s="7" t="s">
        <v>859</v>
      </c>
      <c r="B239" s="7" t="s">
        <v>860</v>
      </c>
      <c r="C239" s="7" t="s">
        <v>857</v>
      </c>
      <c r="D239" s="6"/>
      <c r="E239" s="7" t="s">
        <v>861</v>
      </c>
      <c r="F239" s="7" t="s">
        <v>860</v>
      </c>
      <c r="G239" s="6"/>
      <c r="H239" s="6" t="str">
        <f>_xll.BDP($A239,"IPO_OFFER_PX_TO_LAST_CLOSE_%_CHG",$A$1,$A$2)</f>
        <v>#N/A N/A</v>
      </c>
      <c r="I239" s="6">
        <f>_xll.BDP($A239,"IPO_OFFER_PX_TO_1ST_OPEN_%_CHG",$A$1,$A$2)</f>
        <v>5</v>
      </c>
      <c r="J239" s="6">
        <v>10</v>
      </c>
      <c r="K239" s="6">
        <v>7442820</v>
      </c>
      <c r="L239" s="7"/>
      <c r="M239" s="7"/>
      <c r="N239" s="7"/>
    </row>
    <row r="240" spans="1:14" s="4" customFormat="1" ht="13.2" x14ac:dyDescent="0.25">
      <c r="A240" s="7" t="s">
        <v>862</v>
      </c>
      <c r="B240" s="7" t="s">
        <v>863</v>
      </c>
      <c r="C240" s="7" t="s">
        <v>857</v>
      </c>
      <c r="D240" s="6"/>
      <c r="E240" s="7" t="s">
        <v>864</v>
      </c>
      <c r="F240" s="7" t="s">
        <v>863</v>
      </c>
      <c r="G240" s="6"/>
      <c r="H240" s="6" t="str">
        <f>_xll.BDP($A240,"IPO_OFFER_PX_TO_LAST_CLOSE_%_CHG",$A$1,$A$2)</f>
        <v>#N/A N/A</v>
      </c>
      <c r="I240" s="6">
        <f>_xll.BDP($A240,"IPO_OFFER_PX_TO_1ST_OPEN_%_CHG",$A$1,$A$2)</f>
        <v>15.3</v>
      </c>
      <c r="J240" s="6">
        <v>10</v>
      </c>
      <c r="K240" s="6">
        <v>556328</v>
      </c>
      <c r="L240" s="7"/>
      <c r="M240" s="7"/>
      <c r="N240" s="7"/>
    </row>
    <row r="241" spans="1:14" s="4" customFormat="1" ht="13.2" x14ac:dyDescent="0.25">
      <c r="A241" s="7" t="s">
        <v>865</v>
      </c>
      <c r="B241" s="7" t="s">
        <v>866</v>
      </c>
      <c r="C241" s="7" t="s">
        <v>857</v>
      </c>
      <c r="D241" s="6">
        <v>55.53</v>
      </c>
      <c r="E241" s="7" t="s">
        <v>867</v>
      </c>
      <c r="F241" s="7" t="s">
        <v>866</v>
      </c>
      <c r="G241" s="6">
        <v>13957747758.99</v>
      </c>
      <c r="H241" s="6">
        <f>_xll.BDP($A241,"IPO_OFFER_PX_TO_LAST_CLOSE_%_CHG",$A$1,$A$2)</f>
        <v>327.15379999999999</v>
      </c>
      <c r="I241" s="6" t="str">
        <f>_xll.BDP($A241,"IPO_OFFER_PX_TO_1ST_OPEN_%_CHG",$A$1,$A$2)</f>
        <v>#N/A N/A</v>
      </c>
      <c r="J241" s="6">
        <v>13</v>
      </c>
      <c r="K241" s="6">
        <v>9100000</v>
      </c>
      <c r="L241" s="7" t="s">
        <v>52</v>
      </c>
      <c r="M241" s="7" t="s">
        <v>58</v>
      </c>
      <c r="N241" s="7" t="s">
        <v>58</v>
      </c>
    </row>
    <row r="242" spans="1:14" s="4" customFormat="1" ht="13.2" x14ac:dyDescent="0.25">
      <c r="A242" s="7" t="s">
        <v>868</v>
      </c>
      <c r="B242" s="7" t="s">
        <v>869</v>
      </c>
      <c r="C242" s="7" t="s">
        <v>870</v>
      </c>
      <c r="D242" s="6">
        <v>28.33</v>
      </c>
      <c r="E242" s="7" t="s">
        <v>871</v>
      </c>
      <c r="F242" s="7" t="s">
        <v>869</v>
      </c>
      <c r="G242" s="6">
        <v>827666276.03999984</v>
      </c>
      <c r="H242" s="6">
        <f>_xll.BDP($A242,"IPO_OFFER_PX_TO_LAST_CLOSE_%_CHG",$A$1,$A$2)</f>
        <v>214.77780000000001</v>
      </c>
      <c r="I242" s="6">
        <f>_xll.BDP($A242,"IPO_OFFER_PX_TO_1ST_OPEN_%_CHG",$A$1,$A$2)</f>
        <v>0.34722219999999998</v>
      </c>
      <c r="J242" s="6">
        <v>9</v>
      </c>
      <c r="K242" s="6">
        <v>5000000</v>
      </c>
      <c r="L242" s="7" t="s">
        <v>52</v>
      </c>
      <c r="M242" s="7" t="s">
        <v>872</v>
      </c>
      <c r="N242" s="7" t="s">
        <v>872</v>
      </c>
    </row>
    <row r="243" spans="1:14" s="4" customFormat="1" ht="13.2" x14ac:dyDescent="0.25">
      <c r="A243" s="7" t="s">
        <v>873</v>
      </c>
      <c r="B243" s="7" t="s">
        <v>874</v>
      </c>
      <c r="C243" s="7" t="s">
        <v>875</v>
      </c>
      <c r="D243" s="6"/>
      <c r="E243" s="7" t="s">
        <v>876</v>
      </c>
      <c r="F243" s="7" t="s">
        <v>874</v>
      </c>
      <c r="G243" s="6"/>
      <c r="H243" s="6" t="str">
        <f>_xll.BDP($A243,"IPO_OFFER_PX_TO_LAST_CLOSE_%_CHG",$A$1,$A$2)</f>
        <v>#N/A N/A</v>
      </c>
      <c r="I243" s="6">
        <f>_xll.BDP($A243,"IPO_OFFER_PX_TO_1ST_OPEN_%_CHG",$A$1,$A$2)</f>
        <v>0</v>
      </c>
      <c r="J243" s="6">
        <v>28.5</v>
      </c>
      <c r="K243" s="6">
        <v>7500000</v>
      </c>
      <c r="L243" s="7"/>
      <c r="M243" s="7"/>
      <c r="N243" s="7"/>
    </row>
    <row r="244" spans="1:14" s="4" customFormat="1" ht="13.2" x14ac:dyDescent="0.25">
      <c r="A244" s="7" t="s">
        <v>877</v>
      </c>
      <c r="B244" s="7" t="s">
        <v>878</v>
      </c>
      <c r="C244" s="7" t="s">
        <v>875</v>
      </c>
      <c r="D244" s="6">
        <v>1.62</v>
      </c>
      <c r="E244" s="7" t="s">
        <v>879</v>
      </c>
      <c r="F244" s="7" t="s">
        <v>878</v>
      </c>
      <c r="G244" s="6">
        <v>19978531.740000002</v>
      </c>
      <c r="H244" s="6">
        <f>_xll.BDP($A244,"IPO_OFFER_PX_TO_LAST_CLOSE_%_CHG",$A$1,$A$2)</f>
        <v>-98.649990000000003</v>
      </c>
      <c r="I244" s="6">
        <f>_xll.BDP($A244,"IPO_OFFER_PX_TO_1ST_OPEN_%_CHG",$A$1,$A$2)</f>
        <v>9.375</v>
      </c>
      <c r="J244" s="6">
        <v>8</v>
      </c>
      <c r="K244" s="6">
        <v>4000000</v>
      </c>
      <c r="L244" s="7" t="s">
        <v>280</v>
      </c>
      <c r="M244" s="7" t="s">
        <v>880</v>
      </c>
      <c r="N244" s="7" t="s">
        <v>881</v>
      </c>
    </row>
    <row r="245" spans="1:14" s="4" customFormat="1" ht="13.2" x14ac:dyDescent="0.25">
      <c r="A245" s="7" t="s">
        <v>882</v>
      </c>
      <c r="B245" s="7" t="s">
        <v>883</v>
      </c>
      <c r="C245" s="7" t="s">
        <v>875</v>
      </c>
      <c r="D245" s="6"/>
      <c r="E245" s="7" t="s">
        <v>884</v>
      </c>
      <c r="F245" s="7" t="s">
        <v>883</v>
      </c>
      <c r="G245" s="6"/>
      <c r="H245" s="6" t="str">
        <f>_xll.BDP($A245,"IPO_OFFER_PX_TO_LAST_CLOSE_%_CHG",$A$1,$A$2)</f>
        <v>#N/A N/A</v>
      </c>
      <c r="I245" s="6">
        <f>_xll.BDP($A245,"IPO_OFFER_PX_TO_1ST_OPEN_%_CHG",$A$1,$A$2)</f>
        <v>64.285709999999995</v>
      </c>
      <c r="J245" s="6">
        <v>14</v>
      </c>
      <c r="K245" s="6">
        <v>5534000</v>
      </c>
      <c r="L245" s="7"/>
      <c r="M245" s="7"/>
      <c r="N245" s="7"/>
    </row>
    <row r="246" spans="1:14" s="4" customFormat="1" ht="13.2" x14ac:dyDescent="0.25">
      <c r="A246" s="7" t="s">
        <v>885</v>
      </c>
      <c r="B246" s="7" t="s">
        <v>886</v>
      </c>
      <c r="C246" s="7" t="s">
        <v>875</v>
      </c>
      <c r="D246" s="6"/>
      <c r="E246" s="7" t="s">
        <v>887</v>
      </c>
      <c r="F246" s="7" t="s">
        <v>886</v>
      </c>
      <c r="G246" s="6"/>
      <c r="H246" s="6" t="str">
        <f>_xll.BDP($A246,"IPO_OFFER_PX_TO_LAST_CLOSE_%_CHG",$A$1,$A$2)</f>
        <v>#N/A N/A</v>
      </c>
      <c r="I246" s="6">
        <f>_xll.BDP($A246,"IPO_OFFER_PX_TO_1ST_OPEN_%_CHG",$A$1,$A$2)</f>
        <v>120</v>
      </c>
      <c r="J246" s="6">
        <v>15</v>
      </c>
      <c r="K246" s="6">
        <v>4000000</v>
      </c>
      <c r="L246" s="7"/>
      <c r="M246" s="7"/>
      <c r="N246" s="7"/>
    </row>
    <row r="247" spans="1:14" s="4" customFormat="1" ht="13.2" x14ac:dyDescent="0.25">
      <c r="A247" s="7" t="s">
        <v>888</v>
      </c>
      <c r="B247" s="7" t="s">
        <v>889</v>
      </c>
      <c r="C247" s="7" t="s">
        <v>875</v>
      </c>
      <c r="D247" s="6"/>
      <c r="E247" s="7" t="s">
        <v>890</v>
      </c>
      <c r="F247" s="7" t="s">
        <v>889</v>
      </c>
      <c r="G247" s="6"/>
      <c r="H247" s="6" t="str">
        <f>_xll.BDP($A247,"IPO_OFFER_PX_TO_LAST_CLOSE_%_CHG",$A$1,$A$2)</f>
        <v>#N/A N/A</v>
      </c>
      <c r="I247" s="6">
        <f>_xll.BDP($A247,"IPO_OFFER_PX_TO_1ST_OPEN_%_CHG",$A$1,$A$2)</f>
        <v>0</v>
      </c>
      <c r="J247" s="6">
        <v>16</v>
      </c>
      <c r="K247" s="6">
        <v>10000000</v>
      </c>
      <c r="L247" s="7"/>
      <c r="M247" s="7"/>
      <c r="N247" s="7"/>
    </row>
    <row r="248" spans="1:14" s="4" customFormat="1" ht="13.2" x14ac:dyDescent="0.25">
      <c r="A248" s="7" t="s">
        <v>891</v>
      </c>
      <c r="B248" s="7" t="s">
        <v>892</v>
      </c>
      <c r="C248" s="7" t="s">
        <v>875</v>
      </c>
      <c r="D248" s="6">
        <v>2.33</v>
      </c>
      <c r="E248" s="7" t="s">
        <v>893</v>
      </c>
      <c r="F248" s="7" t="s">
        <v>892</v>
      </c>
      <c r="G248" s="6">
        <v>1034977588.7</v>
      </c>
      <c r="H248" s="6">
        <f>_xll.BDP($A248,"IPO_OFFER_PX_TO_LAST_CLOSE_%_CHG",$A$1,$A$2)</f>
        <v>-98.487009999999998</v>
      </c>
      <c r="I248" s="6">
        <f>_xll.BDP($A248,"IPO_OFFER_PX_TO_1ST_OPEN_%_CHG",$A$1,$A$2)</f>
        <v>0</v>
      </c>
      <c r="J248" s="6">
        <v>22</v>
      </c>
      <c r="K248" s="6">
        <v>10000000</v>
      </c>
      <c r="L248" s="7" t="s">
        <v>52</v>
      </c>
      <c r="M248" s="7" t="s">
        <v>587</v>
      </c>
      <c r="N248" s="7" t="s">
        <v>587</v>
      </c>
    </row>
    <row r="249" spans="1:14" s="4" customFormat="1" ht="13.2" x14ac:dyDescent="0.25">
      <c r="A249" s="7" t="s">
        <v>894</v>
      </c>
      <c r="B249" s="7" t="s">
        <v>895</v>
      </c>
      <c r="C249" s="7" t="s">
        <v>896</v>
      </c>
      <c r="D249" s="6"/>
      <c r="E249" s="7" t="s">
        <v>897</v>
      </c>
      <c r="F249" s="7" t="s">
        <v>895</v>
      </c>
      <c r="G249" s="6"/>
      <c r="H249" s="6" t="str">
        <f>_xll.BDP($A249,"IPO_OFFER_PX_TO_LAST_CLOSE_%_CHG",$A$1,$A$2)</f>
        <v>#N/A N/A</v>
      </c>
      <c r="I249" s="6">
        <f>_xll.BDP($A249,"IPO_OFFER_PX_TO_1ST_OPEN_%_CHG",$A$1,$A$2)</f>
        <v>30</v>
      </c>
      <c r="J249" s="6">
        <v>10</v>
      </c>
      <c r="K249" s="6">
        <v>7700000</v>
      </c>
      <c r="L249" s="7"/>
      <c r="M249" s="7"/>
      <c r="N249" s="7"/>
    </row>
    <row r="250" spans="1:14" s="4" customFormat="1" ht="13.2" x14ac:dyDescent="0.25">
      <c r="A250" s="7" t="s">
        <v>898</v>
      </c>
      <c r="B250" s="7" t="s">
        <v>899</v>
      </c>
      <c r="C250" s="7" t="s">
        <v>896</v>
      </c>
      <c r="D250" s="6"/>
      <c r="E250" s="7" t="s">
        <v>900</v>
      </c>
      <c r="F250" s="7" t="s">
        <v>899</v>
      </c>
      <c r="G250" s="6"/>
      <c r="H250" s="6" t="str">
        <f>_xll.BDP($A250,"IPO_OFFER_PX_TO_LAST_CLOSE_%_CHG",$A$1,$A$2)</f>
        <v>#N/A N/A</v>
      </c>
      <c r="I250" s="6">
        <f>_xll.BDP($A250,"IPO_OFFER_PX_TO_1ST_OPEN_%_CHG",$A$1,$A$2)</f>
        <v>56.25</v>
      </c>
      <c r="J250" s="6">
        <v>16</v>
      </c>
      <c r="K250" s="6">
        <v>5100000</v>
      </c>
      <c r="L250" s="7"/>
      <c r="M250" s="7"/>
      <c r="N250" s="7"/>
    </row>
    <row r="251" spans="1:14" s="4" customFormat="1" ht="13.2" x14ac:dyDescent="0.25">
      <c r="A251" s="7" t="s">
        <v>901</v>
      </c>
      <c r="B251" s="7" t="s">
        <v>902</v>
      </c>
      <c r="C251" s="7" t="s">
        <v>896</v>
      </c>
      <c r="D251" s="6">
        <v>7.4899999999999994E-2</v>
      </c>
      <c r="E251" s="7" t="s">
        <v>903</v>
      </c>
      <c r="F251" s="7" t="s">
        <v>902</v>
      </c>
      <c r="G251" s="6">
        <v>31030234.640299994</v>
      </c>
      <c r="H251" s="6">
        <f>_xll.BDP($A251,"IPO_OFFER_PX_TO_LAST_CLOSE_%_CHG",$A$1,$A$2)</f>
        <v>-99.500659999999996</v>
      </c>
      <c r="I251" s="6">
        <f>_xll.BDP($A251,"IPO_OFFER_PX_TO_1ST_OPEN_%_CHG",$A$1,$A$2)</f>
        <v>0.2083333</v>
      </c>
      <c r="J251" s="6">
        <v>15</v>
      </c>
      <c r="K251" s="6">
        <v>3500000</v>
      </c>
      <c r="L251" s="7" t="s">
        <v>52</v>
      </c>
      <c r="M251" s="7" t="s">
        <v>58</v>
      </c>
      <c r="N251" s="7" t="s">
        <v>58</v>
      </c>
    </row>
    <row r="252" spans="1:14" s="4" customFormat="1" ht="13.2" x14ac:dyDescent="0.25">
      <c r="A252" s="7" t="s">
        <v>904</v>
      </c>
      <c r="B252" s="7" t="s">
        <v>905</v>
      </c>
      <c r="C252" s="7" t="s">
        <v>906</v>
      </c>
      <c r="D252" s="6">
        <v>23.09</v>
      </c>
      <c r="E252" s="7" t="s">
        <v>907</v>
      </c>
      <c r="F252" s="7" t="s">
        <v>905</v>
      </c>
      <c r="G252" s="6">
        <v>183921801.78999999</v>
      </c>
      <c r="H252" s="6">
        <f>_xll.BDP($A252,"IPO_OFFER_PX_TO_LAST_CLOSE_%_CHG",$A$1,$A$2)</f>
        <v>996.77499999999998</v>
      </c>
      <c r="I252" s="6">
        <f>_xll.BDP($A252,"IPO_OFFER_PX_TO_1ST_OPEN_%_CHG",$A$1,$A$2)</f>
        <v>12.5</v>
      </c>
      <c r="J252" s="6">
        <v>8</v>
      </c>
      <c r="K252" s="6">
        <v>858550</v>
      </c>
      <c r="L252" s="7" t="s">
        <v>645</v>
      </c>
      <c r="M252" s="7" t="s">
        <v>646</v>
      </c>
      <c r="N252" s="7" t="s">
        <v>647</v>
      </c>
    </row>
    <row r="253" spans="1:14" s="4" customFormat="1" ht="13.2" x14ac:dyDescent="0.25">
      <c r="A253" s="7" t="s">
        <v>908</v>
      </c>
      <c r="B253" s="7" t="s">
        <v>909</v>
      </c>
      <c r="C253" s="7" t="s">
        <v>906</v>
      </c>
      <c r="D253" s="6"/>
      <c r="E253" s="7" t="s">
        <v>910</v>
      </c>
      <c r="F253" s="7" t="s">
        <v>909</v>
      </c>
      <c r="G253" s="6"/>
      <c r="H253" s="6" t="str">
        <f>_xll.BDP($A253,"IPO_OFFER_PX_TO_LAST_CLOSE_%_CHG",$A$1,$A$2)</f>
        <v>#N/A N/A</v>
      </c>
      <c r="I253" s="6">
        <f>_xll.BDP($A253,"IPO_OFFER_PX_TO_1ST_OPEN_%_CHG",$A$1,$A$2)</f>
        <v>11.538460000000001</v>
      </c>
      <c r="J253" s="6">
        <v>13</v>
      </c>
      <c r="K253" s="6">
        <v>4250000</v>
      </c>
      <c r="L253" s="7"/>
      <c r="M253" s="7"/>
      <c r="N253" s="7"/>
    </row>
    <row r="254" spans="1:14" s="4" customFormat="1" ht="13.2" x14ac:dyDescent="0.25">
      <c r="A254" s="7" t="s">
        <v>911</v>
      </c>
      <c r="B254" s="7" t="s">
        <v>912</v>
      </c>
      <c r="C254" s="7" t="s">
        <v>906</v>
      </c>
      <c r="D254" s="6"/>
      <c r="E254" s="7" t="s">
        <v>913</v>
      </c>
      <c r="F254" s="7" t="s">
        <v>912</v>
      </c>
      <c r="G254" s="6"/>
      <c r="H254" s="6" t="str">
        <f>_xll.BDP($A254,"IPO_OFFER_PX_TO_LAST_CLOSE_%_CHG",$A$1,$A$2)</f>
        <v>#N/A N/A</v>
      </c>
      <c r="I254" s="6">
        <f>_xll.BDP($A254,"IPO_OFFER_PX_TO_1ST_OPEN_%_CHG",$A$1,$A$2)</f>
        <v>18.518519999999999</v>
      </c>
      <c r="J254" s="6">
        <v>13.5</v>
      </c>
      <c r="K254" s="6">
        <v>6750000</v>
      </c>
      <c r="L254" s="7"/>
      <c r="M254" s="7"/>
      <c r="N254" s="7"/>
    </row>
    <row r="255" spans="1:14" s="4" customFormat="1" ht="13.2" x14ac:dyDescent="0.25">
      <c r="A255" s="7" t="s">
        <v>914</v>
      </c>
      <c r="B255" s="7" t="s">
        <v>915</v>
      </c>
      <c r="C255" s="7" t="s">
        <v>916</v>
      </c>
      <c r="D255" s="6"/>
      <c r="E255" s="7" t="s">
        <v>917</v>
      </c>
      <c r="F255" s="7" t="s">
        <v>915</v>
      </c>
      <c r="G255" s="6"/>
      <c r="H255" s="6" t="str">
        <f>_xll.BDP($A255,"IPO_OFFER_PX_TO_LAST_CLOSE_%_CHG",$A$1,$A$2)</f>
        <v>#N/A N/A</v>
      </c>
      <c r="I255" s="6">
        <f>_xll.BDP($A255,"IPO_OFFER_PX_TO_1ST_OPEN_%_CHG",$A$1,$A$2)</f>
        <v>36.607140000000001</v>
      </c>
      <c r="J255" s="6">
        <v>14</v>
      </c>
      <c r="K255" s="6">
        <v>4000000</v>
      </c>
      <c r="L255" s="7"/>
      <c r="M255" s="7"/>
      <c r="N255" s="7"/>
    </row>
    <row r="256" spans="1:14" s="4" customFormat="1" ht="13.2" x14ac:dyDescent="0.25">
      <c r="A256" s="7" t="s">
        <v>918</v>
      </c>
      <c r="B256" s="7" t="s">
        <v>919</v>
      </c>
      <c r="C256" s="7" t="s">
        <v>916</v>
      </c>
      <c r="D256" s="6"/>
      <c r="E256" s="7" t="s">
        <v>920</v>
      </c>
      <c r="F256" s="7" t="s">
        <v>919</v>
      </c>
      <c r="G256" s="6"/>
      <c r="H256" s="6" t="str">
        <f>_xll.BDP($A256,"IPO_OFFER_PX_TO_LAST_CLOSE_%_CHG",$A$1,$A$2)</f>
        <v>#N/A N/A</v>
      </c>
      <c r="I256" s="6">
        <f>_xll.BDP($A256,"IPO_OFFER_PX_TO_1ST_OPEN_%_CHG",$A$1,$A$2)</f>
        <v>52.380949999999999</v>
      </c>
      <c r="J256" s="6">
        <v>21</v>
      </c>
      <c r="K256" s="6">
        <v>3000000</v>
      </c>
      <c r="L256" s="7"/>
      <c r="M256" s="7"/>
      <c r="N256" s="7"/>
    </row>
    <row r="257" spans="1:14" s="4" customFormat="1" ht="13.2" x14ac:dyDescent="0.25">
      <c r="A257" s="7" t="s">
        <v>921</v>
      </c>
      <c r="B257" s="7" t="s">
        <v>922</v>
      </c>
      <c r="C257" s="7" t="s">
        <v>916</v>
      </c>
      <c r="D257" s="6">
        <v>92.99</v>
      </c>
      <c r="E257" s="7" t="s">
        <v>923</v>
      </c>
      <c r="F257" s="7" t="s">
        <v>922</v>
      </c>
      <c r="G257" s="6">
        <v>59833186079.209999</v>
      </c>
      <c r="H257" s="6">
        <f>_xll.BDP($A257,"IPO_OFFER_PX_TO_LAST_CLOSE_%_CHG",$A$1,$A$2)</f>
        <v>632.28120000000001</v>
      </c>
      <c r="I257" s="6">
        <f>_xll.BDP($A257,"IPO_OFFER_PX_TO_1ST_OPEN_%_CHG",$A$1,$A$2)</f>
        <v>1.754386</v>
      </c>
      <c r="J257" s="6">
        <v>14.25</v>
      </c>
      <c r="K257" s="6">
        <v>202000000</v>
      </c>
      <c r="L257" s="7" t="s">
        <v>645</v>
      </c>
      <c r="M257" s="7" t="s">
        <v>924</v>
      </c>
      <c r="N257" s="7" t="s">
        <v>925</v>
      </c>
    </row>
    <row r="258" spans="1:14" s="4" customFormat="1" ht="13.2" x14ac:dyDescent="0.25">
      <c r="A258" s="7" t="s">
        <v>926</v>
      </c>
      <c r="B258" s="7" t="s">
        <v>927</v>
      </c>
      <c r="C258" s="7" t="s">
        <v>916</v>
      </c>
      <c r="D258" s="6"/>
      <c r="E258" s="7" t="s">
        <v>928</v>
      </c>
      <c r="F258" s="7" t="s">
        <v>927</v>
      </c>
      <c r="G258" s="6"/>
      <c r="H258" s="6" t="str">
        <f>_xll.BDP($A258,"IPO_OFFER_PX_TO_LAST_CLOSE_%_CHG",$A$1,$A$2)</f>
        <v>#N/A N/A</v>
      </c>
      <c r="I258" s="6">
        <f>_xll.BDP($A258,"IPO_OFFER_PX_TO_1ST_OPEN_%_CHG",$A$1,$A$2)</f>
        <v>17.5</v>
      </c>
      <c r="J258" s="6">
        <v>20</v>
      </c>
      <c r="K258" s="6">
        <v>4000000</v>
      </c>
      <c r="L258" s="7"/>
      <c r="M258" s="7"/>
      <c r="N258" s="7"/>
    </row>
    <row r="259" spans="1:14" s="4" customFormat="1" ht="13.2" x14ac:dyDescent="0.25">
      <c r="A259" s="7" t="s">
        <v>929</v>
      </c>
      <c r="B259" s="7" t="s">
        <v>930</v>
      </c>
      <c r="C259" s="7" t="s">
        <v>931</v>
      </c>
      <c r="D259" s="6"/>
      <c r="E259" s="7" t="s">
        <v>932</v>
      </c>
      <c r="F259" s="7" t="s">
        <v>930</v>
      </c>
      <c r="G259" s="6"/>
      <c r="H259" s="6" t="str">
        <f>_xll.BDP($A259,"IPO_OFFER_PX_TO_LAST_CLOSE_%_CHG",$A$1,$A$2)</f>
        <v>#N/A N/A</v>
      </c>
      <c r="I259" s="6" t="str">
        <f>_xll.BDP($A259,"IPO_OFFER_PX_TO_1ST_OPEN_%_CHG",$A$1,$A$2)</f>
        <v>#N/A N/A</v>
      </c>
      <c r="J259" s="6"/>
      <c r="K259" s="6"/>
      <c r="L259" s="7"/>
      <c r="M259" s="7"/>
      <c r="N259" s="7"/>
    </row>
    <row r="260" spans="1:14" s="4" customFormat="1" ht="13.2" x14ac:dyDescent="0.25">
      <c r="A260" s="7" t="s">
        <v>933</v>
      </c>
      <c r="B260" s="7" t="s">
        <v>934</v>
      </c>
      <c r="C260" s="7" t="s">
        <v>935</v>
      </c>
      <c r="D260" s="6"/>
      <c r="E260" s="7" t="s">
        <v>936</v>
      </c>
      <c r="F260" s="7" t="s">
        <v>934</v>
      </c>
      <c r="G260" s="6"/>
      <c r="H260" s="6" t="str">
        <f>_xll.BDP($A260,"IPO_OFFER_PX_TO_LAST_CLOSE_%_CHG",$A$1,$A$2)</f>
        <v>#N/A N/A</v>
      </c>
      <c r="I260" s="6">
        <f>_xll.BDP($A260,"IPO_OFFER_PX_TO_1ST_OPEN_%_CHG",$A$1,$A$2)</f>
        <v>91.176469999999995</v>
      </c>
      <c r="J260" s="6">
        <v>34</v>
      </c>
      <c r="K260" s="6">
        <v>5000000</v>
      </c>
      <c r="L260" s="7"/>
      <c r="M260" s="7"/>
      <c r="N260" s="7"/>
    </row>
    <row r="261" spans="1:14" s="4" customFormat="1" ht="13.2" x14ac:dyDescent="0.25">
      <c r="A261" s="7" t="s">
        <v>937</v>
      </c>
      <c r="B261" s="7" t="s">
        <v>938</v>
      </c>
      <c r="C261" s="7" t="s">
        <v>939</v>
      </c>
      <c r="D261" s="6"/>
      <c r="E261" s="7" t="s">
        <v>940</v>
      </c>
      <c r="F261" s="7" t="s">
        <v>938</v>
      </c>
      <c r="G261" s="6"/>
      <c r="H261" s="6" t="str">
        <f>_xll.BDP($A261,"IPO_OFFER_PX_TO_LAST_CLOSE_%_CHG",$A$1,$A$2)</f>
        <v>#N/A N/A</v>
      </c>
      <c r="I261" s="6">
        <f>_xll.BDP($A261,"IPO_OFFER_PX_TO_1ST_OPEN_%_CHG",$A$1,$A$2)</f>
        <v>1.3157890000000001</v>
      </c>
      <c r="J261" s="6">
        <v>19</v>
      </c>
      <c r="K261" s="6">
        <v>4000000</v>
      </c>
      <c r="L261" s="7"/>
      <c r="M261" s="7"/>
      <c r="N261" s="7"/>
    </row>
    <row r="262" spans="1:14" s="4" customFormat="1" ht="13.2" x14ac:dyDescent="0.25">
      <c r="A262" s="7" t="s">
        <v>941</v>
      </c>
      <c r="B262" s="7" t="s">
        <v>942</v>
      </c>
      <c r="C262" s="7" t="s">
        <v>939</v>
      </c>
      <c r="D262" s="6"/>
      <c r="E262" s="7" t="s">
        <v>943</v>
      </c>
      <c r="F262" s="7" t="s">
        <v>942</v>
      </c>
      <c r="G262" s="6"/>
      <c r="H262" s="6" t="str">
        <f>_xll.BDP($A262,"IPO_OFFER_PX_TO_LAST_CLOSE_%_CHG",$A$1,$A$2)</f>
        <v>#N/A N/A</v>
      </c>
      <c r="I262" s="6">
        <f>_xll.BDP($A262,"IPO_OFFER_PX_TO_1ST_OPEN_%_CHG",$A$1,$A$2)</f>
        <v>10</v>
      </c>
      <c r="J262" s="6">
        <v>10</v>
      </c>
      <c r="K262" s="6">
        <v>1190000</v>
      </c>
      <c r="L262" s="7"/>
      <c r="M262" s="7"/>
      <c r="N262" s="7"/>
    </row>
    <row r="263" spans="1:14" s="4" customFormat="1" ht="13.2" x14ac:dyDescent="0.25">
      <c r="A263" s="7" t="s">
        <v>944</v>
      </c>
      <c r="B263" s="7" t="s">
        <v>945</v>
      </c>
      <c r="C263" s="7" t="s">
        <v>939</v>
      </c>
      <c r="D263" s="6"/>
      <c r="E263" s="7" t="s">
        <v>946</v>
      </c>
      <c r="F263" s="7" t="s">
        <v>945</v>
      </c>
      <c r="G263" s="6"/>
      <c r="H263" s="6" t="str">
        <f>_xll.BDP($A263,"IPO_OFFER_PX_TO_LAST_CLOSE_%_CHG",$A$1,$A$2)</f>
        <v>#N/A N/A</v>
      </c>
      <c r="I263" s="6">
        <f>_xll.BDP($A263,"IPO_OFFER_PX_TO_1ST_OPEN_%_CHG",$A$1,$A$2)</f>
        <v>14.705880000000001</v>
      </c>
      <c r="J263" s="6">
        <v>17</v>
      </c>
      <c r="K263" s="6">
        <v>4500000</v>
      </c>
      <c r="L263" s="7"/>
      <c r="M263" s="7"/>
      <c r="N263" s="7"/>
    </row>
    <row r="264" spans="1:14" s="4" customFormat="1" ht="13.2" x14ac:dyDescent="0.25">
      <c r="A264" s="7" t="s">
        <v>947</v>
      </c>
      <c r="B264" s="7" t="s">
        <v>948</v>
      </c>
      <c r="C264" s="7" t="s">
        <v>949</v>
      </c>
      <c r="D264" s="6"/>
      <c r="E264" s="7" t="s">
        <v>950</v>
      </c>
      <c r="F264" s="7" t="s">
        <v>948</v>
      </c>
      <c r="G264" s="6"/>
      <c r="H264" s="6" t="str">
        <f>_xll.BDP($A264,"IPO_OFFER_PX_TO_LAST_CLOSE_%_CHG",$A$1,$A$2)</f>
        <v>#N/A N/A</v>
      </c>
      <c r="I264" s="6">
        <f>_xll.BDP($A264,"IPO_OFFER_PX_TO_1ST_OPEN_%_CHG",$A$1,$A$2)</f>
        <v>4.1666670000000003</v>
      </c>
      <c r="J264" s="6">
        <v>12</v>
      </c>
      <c r="K264" s="6">
        <v>11000000</v>
      </c>
      <c r="L264" s="7"/>
      <c r="M264" s="7"/>
      <c r="N264" s="7"/>
    </row>
    <row r="265" spans="1:14" s="4" customFormat="1" ht="13.2" x14ac:dyDescent="0.25">
      <c r="A265" s="7" t="s">
        <v>951</v>
      </c>
      <c r="B265" s="7" t="s">
        <v>952</v>
      </c>
      <c r="C265" s="7" t="s">
        <v>953</v>
      </c>
      <c r="D265" s="6"/>
      <c r="E265" s="7" t="s">
        <v>954</v>
      </c>
      <c r="F265" s="7" t="s">
        <v>952</v>
      </c>
      <c r="G265" s="6"/>
      <c r="H265" s="6" t="str">
        <f>_xll.BDP($A265,"IPO_OFFER_PX_TO_LAST_CLOSE_%_CHG",$A$1,$A$2)</f>
        <v>#N/A N/A</v>
      </c>
      <c r="I265" s="6">
        <f>_xll.BDP($A265,"IPO_OFFER_PX_TO_1ST_OPEN_%_CHG",$A$1,$A$2)</f>
        <v>13.461539999999999</v>
      </c>
      <c r="J265" s="6">
        <v>13</v>
      </c>
      <c r="K265" s="6">
        <v>3000000</v>
      </c>
      <c r="L265" s="7"/>
      <c r="M265" s="7"/>
      <c r="N265" s="7"/>
    </row>
    <row r="266" spans="1:14" s="4" customFormat="1" ht="13.2" x14ac:dyDescent="0.25">
      <c r="A266" s="7" t="s">
        <v>955</v>
      </c>
      <c r="B266" s="7" t="s">
        <v>956</v>
      </c>
      <c r="C266" s="7" t="s">
        <v>953</v>
      </c>
      <c r="D266" s="6"/>
      <c r="E266" s="7" t="s">
        <v>957</v>
      </c>
      <c r="F266" s="7" t="s">
        <v>956</v>
      </c>
      <c r="G266" s="6"/>
      <c r="H266" s="6" t="str">
        <f>_xll.BDP($A266,"IPO_OFFER_PX_TO_LAST_CLOSE_%_CHG",$A$1,$A$2)</f>
        <v>#N/A N/A</v>
      </c>
      <c r="I266" s="6">
        <f>_xll.BDP($A266,"IPO_OFFER_PX_TO_1ST_OPEN_%_CHG",$A$1,$A$2)</f>
        <v>91.666659999999993</v>
      </c>
      <c r="J266" s="6">
        <v>18</v>
      </c>
      <c r="K266" s="6">
        <v>4000000</v>
      </c>
      <c r="L266" s="7"/>
      <c r="M266" s="7"/>
      <c r="N266" s="7"/>
    </row>
    <row r="267" spans="1:14" s="4" customFormat="1" ht="13.2" x14ac:dyDescent="0.25">
      <c r="A267" s="7" t="s">
        <v>958</v>
      </c>
      <c r="B267" s="7" t="s">
        <v>959</v>
      </c>
      <c r="C267" s="7" t="s">
        <v>953</v>
      </c>
      <c r="D267" s="6"/>
      <c r="E267" s="7" t="s">
        <v>960</v>
      </c>
      <c r="F267" s="7" t="s">
        <v>959</v>
      </c>
      <c r="G267" s="6"/>
      <c r="H267" s="6" t="str">
        <f>_xll.BDP($A267,"IPO_OFFER_PX_TO_LAST_CLOSE_%_CHG",$A$1,$A$2)</f>
        <v>#N/A N/A</v>
      </c>
      <c r="I267" s="6">
        <f>_xll.BDP($A267,"IPO_OFFER_PX_TO_1ST_OPEN_%_CHG",$A$1,$A$2)</f>
        <v>-16.66667</v>
      </c>
      <c r="J267" s="6">
        <v>18</v>
      </c>
      <c r="K267" s="6">
        <v>5000000</v>
      </c>
      <c r="L267" s="7"/>
      <c r="M267" s="7"/>
      <c r="N267" s="7"/>
    </row>
    <row r="268" spans="1:14" s="4" customFormat="1" ht="13.2" x14ac:dyDescent="0.25">
      <c r="A268" s="7" t="s">
        <v>961</v>
      </c>
      <c r="B268" s="7" t="s">
        <v>962</v>
      </c>
      <c r="C268" s="7" t="s">
        <v>953</v>
      </c>
      <c r="D268" s="6"/>
      <c r="E268" s="7" t="s">
        <v>963</v>
      </c>
      <c r="F268" s="7" t="s">
        <v>962</v>
      </c>
      <c r="G268" s="6"/>
      <c r="H268" s="6" t="str">
        <f>_xll.BDP($A268,"IPO_OFFER_PX_TO_LAST_CLOSE_%_CHG",$A$1,$A$2)</f>
        <v>#N/A N/A</v>
      </c>
      <c r="I268" s="6">
        <f>_xll.BDP($A268,"IPO_OFFER_PX_TO_1ST_OPEN_%_CHG",$A$1,$A$2)</f>
        <v>26.66667</v>
      </c>
      <c r="J268" s="6">
        <v>15</v>
      </c>
      <c r="K268" s="6">
        <v>7500000</v>
      </c>
      <c r="L268" s="7"/>
      <c r="M268" s="7"/>
      <c r="N268" s="7"/>
    </row>
    <row r="269" spans="1:14" s="4" customFormat="1" ht="13.2" x14ac:dyDescent="0.25">
      <c r="A269" s="7" t="s">
        <v>964</v>
      </c>
      <c r="B269" s="7" t="s">
        <v>965</v>
      </c>
      <c r="C269" s="7" t="s">
        <v>966</v>
      </c>
      <c r="D269" s="6"/>
      <c r="E269" s="7" t="s">
        <v>967</v>
      </c>
      <c r="F269" s="7" t="s">
        <v>965</v>
      </c>
      <c r="G269" s="6"/>
      <c r="H269" s="6" t="str">
        <f>_xll.BDP($A269,"IPO_OFFER_PX_TO_LAST_CLOSE_%_CHG",$A$1,$A$2)</f>
        <v>#N/A N/A</v>
      </c>
      <c r="I269" s="6">
        <f>_xll.BDP($A269,"IPO_OFFER_PX_TO_1ST_OPEN_%_CHG",$A$1,$A$2)</f>
        <v>0</v>
      </c>
      <c r="J269" s="6">
        <v>12</v>
      </c>
      <c r="K269" s="6">
        <v>5000000</v>
      </c>
      <c r="L269" s="7"/>
      <c r="M269" s="7"/>
      <c r="N269" s="7"/>
    </row>
    <row r="270" spans="1:14" s="4" customFormat="1" ht="13.2" x14ac:dyDescent="0.25">
      <c r="A270" s="7" t="s">
        <v>968</v>
      </c>
      <c r="B270" s="7" t="s">
        <v>969</v>
      </c>
      <c r="C270" s="7" t="s">
        <v>970</v>
      </c>
      <c r="D270" s="6"/>
      <c r="E270" s="7" t="s">
        <v>971</v>
      </c>
      <c r="F270" s="7" t="s">
        <v>969</v>
      </c>
      <c r="G270" s="6"/>
      <c r="H270" s="6" t="str">
        <f>_xll.BDP($A270,"IPO_OFFER_PX_TO_LAST_CLOSE_%_CHG",$A$1,$A$2)</f>
        <v>#N/A N/A</v>
      </c>
      <c r="I270" s="6">
        <f>_xll.BDP($A270,"IPO_OFFER_PX_TO_1ST_OPEN_%_CHG",$A$1,$A$2)</f>
        <v>4.7619049999999996</v>
      </c>
      <c r="J270" s="6">
        <v>21</v>
      </c>
      <c r="K270" s="6">
        <v>44000000</v>
      </c>
      <c r="L270" s="7"/>
      <c r="M270" s="7"/>
      <c r="N270" s="7"/>
    </row>
    <row r="271" spans="1:14" s="4" customFormat="1" ht="13.2" x14ac:dyDescent="0.25">
      <c r="A271" s="7" t="s">
        <v>972</v>
      </c>
      <c r="B271" s="7" t="s">
        <v>973</v>
      </c>
      <c r="C271" s="7" t="s">
        <v>970</v>
      </c>
      <c r="D271" s="6"/>
      <c r="E271" s="7" t="s">
        <v>974</v>
      </c>
      <c r="F271" s="7" t="s">
        <v>973</v>
      </c>
      <c r="G271" s="6"/>
      <c r="H271" s="6" t="str">
        <f>_xll.BDP($A271,"IPO_OFFER_PX_TO_LAST_CLOSE_%_CHG",$A$1,$A$2)</f>
        <v>#N/A N/A</v>
      </c>
      <c r="I271" s="6">
        <f>_xll.BDP($A271,"IPO_OFFER_PX_TO_1ST_OPEN_%_CHG",$A$1,$A$2)</f>
        <v>1.0416669999999999</v>
      </c>
      <c r="J271" s="6">
        <v>12</v>
      </c>
      <c r="K271" s="6">
        <v>4500000</v>
      </c>
      <c r="L271" s="7"/>
      <c r="M271" s="7"/>
      <c r="N271" s="7"/>
    </row>
    <row r="272" spans="1:14" s="4" customFormat="1" ht="13.2" x14ac:dyDescent="0.25">
      <c r="A272" s="7" t="s">
        <v>975</v>
      </c>
      <c r="B272" s="7" t="s">
        <v>976</v>
      </c>
      <c r="C272" s="7" t="s">
        <v>970</v>
      </c>
      <c r="D272" s="6"/>
      <c r="E272" s="7" t="s">
        <v>977</v>
      </c>
      <c r="F272" s="7" t="s">
        <v>976</v>
      </c>
      <c r="G272" s="6"/>
      <c r="H272" s="6" t="str">
        <f>_xll.BDP($A272,"IPO_OFFER_PX_TO_LAST_CLOSE_%_CHG",$A$1,$A$2)</f>
        <v>#N/A N/A</v>
      </c>
      <c r="I272" s="6">
        <f>_xll.BDP($A272,"IPO_OFFER_PX_TO_1ST_OPEN_%_CHG",$A$1,$A$2)</f>
        <v>56.666670000000003</v>
      </c>
      <c r="J272" s="6">
        <v>15</v>
      </c>
      <c r="K272" s="6">
        <v>4000000</v>
      </c>
      <c r="L272" s="7"/>
      <c r="M272" s="7"/>
      <c r="N272" s="7"/>
    </row>
    <row r="273" spans="1:14" s="4" customFormat="1" ht="13.2" x14ac:dyDescent="0.25">
      <c r="A273" s="7" t="s">
        <v>978</v>
      </c>
      <c r="B273" s="7" t="s">
        <v>979</v>
      </c>
      <c r="C273" s="7" t="s">
        <v>970</v>
      </c>
      <c r="D273" s="6">
        <v>217.36</v>
      </c>
      <c r="E273" s="7" t="s">
        <v>980</v>
      </c>
      <c r="F273" s="7" t="s">
        <v>979</v>
      </c>
      <c r="G273" s="6">
        <v>7168929047.2800007</v>
      </c>
      <c r="H273" s="6">
        <f>_xll.BDP($A273,"IPO_OFFER_PX_TO_LAST_CLOSE_%_CHG",$A$1,$A$2)</f>
        <v>601.16129999999998</v>
      </c>
      <c r="I273" s="6">
        <f>_xll.BDP($A273,"IPO_OFFER_PX_TO_1ST_OPEN_%_CHG",$A$1,$A$2)</f>
        <v>103.22580000000001</v>
      </c>
      <c r="J273" s="6">
        <v>31</v>
      </c>
      <c r="K273" s="6">
        <v>3200000</v>
      </c>
      <c r="L273" s="7" t="s">
        <v>280</v>
      </c>
      <c r="M273" s="7" t="s">
        <v>609</v>
      </c>
      <c r="N273" s="7" t="s">
        <v>769</v>
      </c>
    </row>
    <row r="274" spans="1:14" s="4" customFormat="1" ht="13.2" x14ac:dyDescent="0.25">
      <c r="A274" s="7" t="s">
        <v>981</v>
      </c>
      <c r="B274" s="7" t="s">
        <v>982</v>
      </c>
      <c r="C274" s="7" t="s">
        <v>970</v>
      </c>
      <c r="D274" s="6"/>
      <c r="E274" s="7" t="s">
        <v>983</v>
      </c>
      <c r="F274" s="7" t="s">
        <v>982</v>
      </c>
      <c r="G274" s="6"/>
      <c r="H274" s="6" t="str">
        <f>_xll.BDP($A274,"IPO_OFFER_PX_TO_LAST_CLOSE_%_CHG",$A$1,$A$2)</f>
        <v>#N/A N/A</v>
      </c>
      <c r="I274" s="6">
        <f>_xll.BDP($A274,"IPO_OFFER_PX_TO_1ST_OPEN_%_CHG",$A$1,$A$2)</f>
        <v>50.625</v>
      </c>
      <c r="J274" s="6">
        <v>20</v>
      </c>
      <c r="K274" s="6">
        <v>6250000</v>
      </c>
      <c r="L274" s="7"/>
      <c r="M274" s="7"/>
      <c r="N274" s="7"/>
    </row>
    <row r="275" spans="1:14" s="4" customFormat="1" ht="13.2" x14ac:dyDescent="0.25">
      <c r="A275" s="7" t="s">
        <v>984</v>
      </c>
      <c r="B275" s="7" t="s">
        <v>985</v>
      </c>
      <c r="C275" s="7" t="s">
        <v>986</v>
      </c>
      <c r="D275" s="6"/>
      <c r="E275" s="7" t="s">
        <v>987</v>
      </c>
      <c r="F275" s="7" t="s">
        <v>985</v>
      </c>
      <c r="G275" s="6"/>
      <c r="H275" s="6" t="str">
        <f>_xll.BDP($A275,"IPO_OFFER_PX_TO_LAST_CLOSE_%_CHG",$A$1,$A$2)</f>
        <v>#N/A N/A</v>
      </c>
      <c r="I275" s="6">
        <f>_xll.BDP($A275,"IPO_OFFER_PX_TO_1ST_OPEN_%_CHG",$A$1,$A$2)</f>
        <v>-6.944445</v>
      </c>
      <c r="J275" s="6">
        <v>9</v>
      </c>
      <c r="K275" s="6">
        <v>20000000</v>
      </c>
      <c r="L275" s="7"/>
      <c r="M275" s="7"/>
      <c r="N275" s="7"/>
    </row>
    <row r="276" spans="1:14" s="4" customFormat="1" ht="13.2" x14ac:dyDescent="0.25">
      <c r="A276" s="7" t="s">
        <v>988</v>
      </c>
      <c r="B276" s="7" t="s">
        <v>989</v>
      </c>
      <c r="C276" s="7" t="s">
        <v>986</v>
      </c>
      <c r="D276" s="6"/>
      <c r="E276" s="7" t="s">
        <v>990</v>
      </c>
      <c r="F276" s="7" t="s">
        <v>989</v>
      </c>
      <c r="G276" s="6"/>
      <c r="H276" s="6" t="str">
        <f>_xll.BDP($A276,"IPO_OFFER_PX_TO_LAST_CLOSE_%_CHG",$A$1,$A$2)</f>
        <v>#N/A N/A</v>
      </c>
      <c r="I276" s="6">
        <f>_xll.BDP($A276,"IPO_OFFER_PX_TO_1ST_OPEN_%_CHG",$A$1,$A$2)</f>
        <v>114.0625</v>
      </c>
      <c r="J276" s="6">
        <v>16</v>
      </c>
      <c r="K276" s="6">
        <v>4000000</v>
      </c>
      <c r="L276" s="7"/>
      <c r="M276" s="7"/>
      <c r="N276" s="7"/>
    </row>
    <row r="277" spans="1:14" s="4" customFormat="1" ht="13.2" x14ac:dyDescent="0.25">
      <c r="A277" s="7" t="s">
        <v>991</v>
      </c>
      <c r="B277" s="7" t="s">
        <v>992</v>
      </c>
      <c r="C277" s="7" t="s">
        <v>993</v>
      </c>
      <c r="D277" s="6"/>
      <c r="E277" s="7" t="s">
        <v>994</v>
      </c>
      <c r="F277" s="7" t="s">
        <v>992</v>
      </c>
      <c r="G277" s="6"/>
      <c r="H277" s="6" t="str">
        <f>_xll.BDP($A277,"IPO_OFFER_PX_TO_LAST_CLOSE_%_CHG",$A$1,$A$2)</f>
        <v>#N/A N/A</v>
      </c>
      <c r="I277" s="6">
        <f>_xll.BDP($A277,"IPO_OFFER_PX_TO_1ST_OPEN_%_CHG",$A$1,$A$2)</f>
        <v>0</v>
      </c>
      <c r="J277" s="6">
        <v>13</v>
      </c>
      <c r="K277" s="6">
        <v>3500000</v>
      </c>
      <c r="L277" s="7"/>
      <c r="M277" s="7"/>
      <c r="N277" s="7"/>
    </row>
    <row r="278" spans="1:14" s="4" customFormat="1" ht="13.2" x14ac:dyDescent="0.25">
      <c r="A278" s="7" t="s">
        <v>995</v>
      </c>
      <c r="B278" s="7" t="s">
        <v>996</v>
      </c>
      <c r="C278" s="7" t="s">
        <v>993</v>
      </c>
      <c r="D278" s="6"/>
      <c r="E278" s="7" t="s">
        <v>997</v>
      </c>
      <c r="F278" s="7" t="s">
        <v>996</v>
      </c>
      <c r="G278" s="6"/>
      <c r="H278" s="6" t="str">
        <f>_xll.BDP($A278,"IPO_OFFER_PX_TO_LAST_CLOSE_%_CHG",$A$1,$A$2)</f>
        <v>#N/A N/A</v>
      </c>
      <c r="I278" s="6">
        <f>_xll.BDP($A278,"IPO_OFFER_PX_TO_1ST_OPEN_%_CHG",$A$1,$A$2)</f>
        <v>91.666659999999993</v>
      </c>
      <c r="J278" s="6">
        <v>12</v>
      </c>
      <c r="K278" s="6">
        <v>3500000</v>
      </c>
      <c r="L278" s="7"/>
      <c r="M278" s="7"/>
      <c r="N278" s="7"/>
    </row>
    <row r="279" spans="1:14" s="4" customFormat="1" ht="13.2" x14ac:dyDescent="0.25">
      <c r="A279" s="7" t="s">
        <v>998</v>
      </c>
      <c r="B279" s="7" t="s">
        <v>999</v>
      </c>
      <c r="C279" s="7" t="s">
        <v>1000</v>
      </c>
      <c r="D279" s="6"/>
      <c r="E279" s="7" t="s">
        <v>1001</v>
      </c>
      <c r="F279" s="7" t="s">
        <v>999</v>
      </c>
      <c r="G279" s="6"/>
      <c r="H279" s="6" t="str">
        <f>_xll.BDP($A279,"IPO_OFFER_PX_TO_LAST_CLOSE_%_CHG",$A$1,$A$2)</f>
        <v>#N/A N/A</v>
      </c>
      <c r="I279" s="6">
        <f>_xll.BDP($A279,"IPO_OFFER_PX_TO_1ST_OPEN_%_CHG",$A$1,$A$2)</f>
        <v>45.23809</v>
      </c>
      <c r="J279" s="6">
        <v>21</v>
      </c>
      <c r="K279" s="6">
        <v>9000000</v>
      </c>
      <c r="L279" s="7"/>
      <c r="M279" s="7"/>
      <c r="N279" s="7"/>
    </row>
    <row r="280" spans="1:14" s="4" customFormat="1" ht="13.2" x14ac:dyDescent="0.25">
      <c r="A280" s="7" t="s">
        <v>1002</v>
      </c>
      <c r="B280" s="7" t="s">
        <v>1003</v>
      </c>
      <c r="C280" s="7" t="s">
        <v>1000</v>
      </c>
      <c r="D280" s="6"/>
      <c r="E280" s="7" t="s">
        <v>1004</v>
      </c>
      <c r="F280" s="7" t="s">
        <v>1003</v>
      </c>
      <c r="G280" s="6"/>
      <c r="H280" s="6" t="str">
        <f>_xll.BDP($A280,"IPO_OFFER_PX_TO_LAST_CLOSE_%_CHG",$A$1,$A$2)</f>
        <v>#N/A N/A</v>
      </c>
      <c r="I280" s="6">
        <f>_xll.BDP($A280,"IPO_OFFER_PX_TO_1ST_OPEN_%_CHG",$A$1,$A$2)</f>
        <v>85.714290000000005</v>
      </c>
      <c r="J280" s="6">
        <v>14</v>
      </c>
      <c r="K280" s="6">
        <v>5000000</v>
      </c>
      <c r="L280" s="7"/>
      <c r="M280" s="7"/>
      <c r="N280" s="7"/>
    </row>
    <row r="281" spans="1:14" s="4" customFormat="1" ht="13.2" x14ac:dyDescent="0.25">
      <c r="A281" s="7" t="s">
        <v>1005</v>
      </c>
      <c r="B281" s="7" t="s">
        <v>1006</v>
      </c>
      <c r="C281" s="7" t="s">
        <v>1007</v>
      </c>
      <c r="D281" s="6"/>
      <c r="E281" s="7" t="s">
        <v>1008</v>
      </c>
      <c r="F281" s="7" t="s">
        <v>1006</v>
      </c>
      <c r="G281" s="6"/>
      <c r="H281" s="6" t="str">
        <f>_xll.BDP($A281,"IPO_OFFER_PX_TO_LAST_CLOSE_%_CHG",$A$1,$A$2)</f>
        <v>#N/A N/A</v>
      </c>
      <c r="I281" s="6">
        <f>_xll.BDP($A281,"IPO_OFFER_PX_TO_1ST_OPEN_%_CHG",$A$1,$A$2)</f>
        <v>0.56818179999999996</v>
      </c>
      <c r="J281" s="6">
        <v>11</v>
      </c>
      <c r="K281" s="6">
        <v>6250000</v>
      </c>
      <c r="L281" s="7"/>
      <c r="M281" s="7"/>
      <c r="N281" s="7"/>
    </row>
    <row r="282" spans="1:14" s="4" customFormat="1" ht="13.2" x14ac:dyDescent="0.25">
      <c r="A282" s="7" t="s">
        <v>1009</v>
      </c>
      <c r="B282" s="7" t="s">
        <v>1010</v>
      </c>
      <c r="C282" s="7" t="s">
        <v>1011</v>
      </c>
      <c r="D282" s="6"/>
      <c r="E282" s="7" t="s">
        <v>1012</v>
      </c>
      <c r="F282" s="7" t="s">
        <v>1010</v>
      </c>
      <c r="G282" s="6"/>
      <c r="H282" s="6" t="str">
        <f>_xll.BDP($A282,"IPO_OFFER_PX_TO_LAST_CLOSE_%_CHG",$A$1,$A$2)</f>
        <v>#N/A N/A</v>
      </c>
      <c r="I282" s="6">
        <f>_xll.BDP($A282,"IPO_OFFER_PX_TO_1ST_OPEN_%_CHG",$A$1,$A$2)</f>
        <v>26.66667</v>
      </c>
      <c r="J282" s="6">
        <v>15</v>
      </c>
      <c r="K282" s="6">
        <v>4600000</v>
      </c>
      <c r="L282" s="7"/>
      <c r="M282" s="7"/>
      <c r="N282" s="7"/>
    </row>
    <row r="283" spans="1:14" s="4" customFormat="1" ht="13.2" x14ac:dyDescent="0.25">
      <c r="A283" s="7" t="s">
        <v>1013</v>
      </c>
      <c r="B283" s="7" t="s">
        <v>1014</v>
      </c>
      <c r="C283" s="7" t="s">
        <v>1015</v>
      </c>
      <c r="D283" s="6"/>
      <c r="E283" s="7" t="s">
        <v>1016</v>
      </c>
      <c r="F283" s="7" t="s">
        <v>1014</v>
      </c>
      <c r="G283" s="6"/>
      <c r="H283" s="6" t="str">
        <f>_xll.BDP($A283,"IPO_OFFER_PX_TO_LAST_CLOSE_%_CHG",$A$1,$A$2)</f>
        <v>#N/A N/A</v>
      </c>
      <c r="I283" s="6">
        <f>_xll.BDP($A283,"IPO_OFFER_PX_TO_1ST_OPEN_%_CHG",$A$1,$A$2)</f>
        <v>-0.38370720000000003</v>
      </c>
      <c r="J283" s="6">
        <v>33.880000000000003</v>
      </c>
      <c r="K283" s="6">
        <v>2500000</v>
      </c>
      <c r="L283" s="7"/>
      <c r="M283" s="7"/>
      <c r="N283" s="7"/>
    </row>
    <row r="284" spans="1:14" s="4" customFormat="1" ht="13.2" x14ac:dyDescent="0.25">
      <c r="A284" s="7" t="s">
        <v>1017</v>
      </c>
      <c r="B284" s="7" t="s">
        <v>1018</v>
      </c>
      <c r="C284" s="7" t="s">
        <v>1015</v>
      </c>
      <c r="D284" s="6"/>
      <c r="E284" s="7" t="s">
        <v>1019</v>
      </c>
      <c r="F284" s="7" t="s">
        <v>1018</v>
      </c>
      <c r="G284" s="6"/>
      <c r="H284" s="6" t="str">
        <f>_xll.BDP($A284,"IPO_OFFER_PX_TO_LAST_CLOSE_%_CHG",$A$1,$A$2)</f>
        <v>#N/A N/A</v>
      </c>
      <c r="I284" s="6">
        <f>_xll.BDP($A284,"IPO_OFFER_PX_TO_1ST_OPEN_%_CHG",$A$1,$A$2)</f>
        <v>100</v>
      </c>
      <c r="J284" s="6">
        <v>14</v>
      </c>
      <c r="K284" s="6">
        <v>11000000</v>
      </c>
      <c r="L284" s="7"/>
      <c r="M284" s="7"/>
      <c r="N284" s="7"/>
    </row>
    <row r="285" spans="1:14" s="4" customFormat="1" ht="13.2" x14ac:dyDescent="0.25">
      <c r="A285" s="7" t="s">
        <v>1020</v>
      </c>
      <c r="B285" s="7" t="s">
        <v>1021</v>
      </c>
      <c r="C285" s="7" t="s">
        <v>1015</v>
      </c>
      <c r="D285" s="6"/>
      <c r="E285" s="7" t="s">
        <v>1022</v>
      </c>
      <c r="F285" s="7" t="s">
        <v>1021</v>
      </c>
      <c r="G285" s="6"/>
      <c r="H285" s="6" t="str">
        <f>_xll.BDP($A285,"IPO_OFFER_PX_TO_LAST_CLOSE_%_CHG",$A$1,$A$2)</f>
        <v>#N/A N/A</v>
      </c>
      <c r="I285" s="6">
        <f>_xll.BDP($A285,"IPO_OFFER_PX_TO_1ST_OPEN_%_CHG",$A$1,$A$2)</f>
        <v>37.5</v>
      </c>
      <c r="J285" s="6">
        <v>18</v>
      </c>
      <c r="K285" s="6">
        <v>8000000</v>
      </c>
      <c r="L285" s="7"/>
      <c r="M285" s="7"/>
      <c r="N285" s="7"/>
    </row>
    <row r="286" spans="1:14" s="4" customFormat="1" ht="13.2" x14ac:dyDescent="0.25">
      <c r="A286" s="7" t="s">
        <v>1023</v>
      </c>
      <c r="B286" s="7" t="s">
        <v>1024</v>
      </c>
      <c r="C286" s="7" t="s">
        <v>1025</v>
      </c>
      <c r="D286" s="6"/>
      <c r="E286" s="7" t="s">
        <v>1026</v>
      </c>
      <c r="F286" s="7" t="s">
        <v>1024</v>
      </c>
      <c r="G286" s="6"/>
      <c r="H286" s="6" t="str">
        <f>_xll.BDP($A286,"IPO_OFFER_PX_TO_LAST_CLOSE_%_CHG",$A$1,$A$2)</f>
        <v>#N/A N/A</v>
      </c>
      <c r="I286" s="6" t="str">
        <f>_xll.BDP($A286,"IPO_OFFER_PX_TO_1ST_OPEN_%_CHG",$A$1,$A$2)</f>
        <v>#N/A N/A</v>
      </c>
      <c r="J286" s="6">
        <v>16</v>
      </c>
      <c r="K286" s="6">
        <v>2760000</v>
      </c>
      <c r="L286" s="7"/>
      <c r="M286" s="7"/>
      <c r="N286" s="7"/>
    </row>
    <row r="287" spans="1:14" s="4" customFormat="1" ht="13.2" x14ac:dyDescent="0.25">
      <c r="A287" s="7" t="s">
        <v>1027</v>
      </c>
      <c r="B287" s="7" t="s">
        <v>1028</v>
      </c>
      <c r="C287" s="7" t="s">
        <v>1029</v>
      </c>
      <c r="D287" s="6"/>
      <c r="E287" s="7" t="s">
        <v>1030</v>
      </c>
      <c r="F287" s="7" t="s">
        <v>1028</v>
      </c>
      <c r="G287" s="6"/>
      <c r="H287" s="6" t="str">
        <f>_xll.BDP($A287,"IPO_OFFER_PX_TO_LAST_CLOSE_%_CHG",$A$1,$A$2)</f>
        <v>#N/A N/A</v>
      </c>
      <c r="I287" s="6">
        <f>_xll.BDP($A287,"IPO_OFFER_PX_TO_1ST_OPEN_%_CHG",$A$1,$A$2)</f>
        <v>33.333329999999997</v>
      </c>
      <c r="J287" s="6">
        <v>9</v>
      </c>
      <c r="K287" s="6">
        <v>1000000</v>
      </c>
      <c r="L287" s="7"/>
      <c r="M287" s="7"/>
      <c r="N287" s="7"/>
    </row>
    <row r="288" spans="1:14" s="4" customFormat="1" ht="13.2" x14ac:dyDescent="0.25">
      <c r="A288" s="7" t="s">
        <v>1031</v>
      </c>
      <c r="B288" s="7" t="s">
        <v>1032</v>
      </c>
      <c r="C288" s="7" t="s">
        <v>1029</v>
      </c>
      <c r="D288" s="6"/>
      <c r="E288" s="7" t="s">
        <v>1033</v>
      </c>
      <c r="F288" s="7" t="s">
        <v>1032</v>
      </c>
      <c r="G288" s="6"/>
      <c r="H288" s="6" t="str">
        <f>_xll.BDP($A288,"IPO_OFFER_PX_TO_LAST_CLOSE_%_CHG",$A$1,$A$2)</f>
        <v>#N/A N/A</v>
      </c>
      <c r="I288" s="6">
        <f>_xll.BDP($A288,"IPO_OFFER_PX_TO_1ST_OPEN_%_CHG",$A$1,$A$2)</f>
        <v>193.75</v>
      </c>
      <c r="J288" s="6">
        <v>16</v>
      </c>
      <c r="K288" s="6">
        <v>4500000</v>
      </c>
      <c r="L288" s="7"/>
      <c r="M288" s="7"/>
      <c r="N288" s="7"/>
    </row>
    <row r="289" spans="1:14" s="4" customFormat="1" ht="13.2" x14ac:dyDescent="0.25">
      <c r="A289" s="7" t="s">
        <v>1034</v>
      </c>
      <c r="B289" s="7" t="s">
        <v>1035</v>
      </c>
      <c r="C289" s="7" t="s">
        <v>1036</v>
      </c>
      <c r="D289" s="6"/>
      <c r="E289" s="7" t="s">
        <v>1037</v>
      </c>
      <c r="F289" s="7" t="s">
        <v>1035</v>
      </c>
      <c r="G289" s="6"/>
      <c r="H289" s="6" t="str">
        <f>_xll.BDP($A289,"IPO_OFFER_PX_TO_LAST_CLOSE_%_CHG",$A$1,$A$2)</f>
        <v>#N/A N/A</v>
      </c>
      <c r="I289" s="6">
        <f>_xll.BDP($A289,"IPO_OFFER_PX_TO_1ST_OPEN_%_CHG",$A$1,$A$2)</f>
        <v>176.47059999999999</v>
      </c>
      <c r="J289" s="6">
        <v>17</v>
      </c>
      <c r="K289" s="6">
        <v>5000000</v>
      </c>
      <c r="L289" s="7"/>
      <c r="M289" s="7"/>
      <c r="N289" s="7"/>
    </row>
    <row r="290" spans="1:14" s="4" customFormat="1" ht="13.2" x14ac:dyDescent="0.25">
      <c r="A290" s="7" t="s">
        <v>1038</v>
      </c>
      <c r="B290" s="7" t="s">
        <v>1039</v>
      </c>
      <c r="C290" s="7" t="s">
        <v>1036</v>
      </c>
      <c r="D290" s="6"/>
      <c r="E290" s="7" t="s">
        <v>1040</v>
      </c>
      <c r="F290" s="7" t="s">
        <v>1039</v>
      </c>
      <c r="G290" s="6"/>
      <c r="H290" s="6" t="str">
        <f>_xll.BDP($A290,"IPO_OFFER_PX_TO_LAST_CLOSE_%_CHG",$A$1,$A$2)</f>
        <v>#N/A N/A</v>
      </c>
      <c r="I290" s="6">
        <f>_xll.BDP($A290,"IPO_OFFER_PX_TO_1ST_OPEN_%_CHG",$A$1,$A$2)</f>
        <v>66.666659999999993</v>
      </c>
      <c r="J290" s="6">
        <v>24</v>
      </c>
      <c r="K290" s="6">
        <v>9300000</v>
      </c>
      <c r="L290" s="7"/>
      <c r="M290" s="7"/>
      <c r="N290" s="7"/>
    </row>
    <row r="291" spans="1:14" s="4" customFormat="1" ht="13.2" x14ac:dyDescent="0.25">
      <c r="A291" s="7" t="s">
        <v>1041</v>
      </c>
      <c r="B291" s="7" t="s">
        <v>1042</v>
      </c>
      <c r="C291" s="7" t="s">
        <v>1043</v>
      </c>
      <c r="D291" s="6"/>
      <c r="E291" s="7" t="s">
        <v>1044</v>
      </c>
      <c r="F291" s="7" t="s">
        <v>1042</v>
      </c>
      <c r="G291" s="6"/>
      <c r="H291" s="6" t="str">
        <f>_xll.BDP($A291,"IPO_OFFER_PX_TO_LAST_CLOSE_%_CHG",$A$1,$A$2)</f>
        <v>#N/A N/A</v>
      </c>
      <c r="I291" s="6">
        <f>_xll.BDP($A291,"IPO_OFFER_PX_TO_1ST_OPEN_%_CHG",$A$1,$A$2)</f>
        <v>7.2916670000000003</v>
      </c>
      <c r="J291" s="6">
        <v>12</v>
      </c>
      <c r="K291" s="6">
        <v>22000000</v>
      </c>
      <c r="L291" s="7"/>
      <c r="M291" s="7"/>
      <c r="N291" s="7"/>
    </row>
    <row r="292" spans="1:14" s="4" customFormat="1" ht="13.2" x14ac:dyDescent="0.25">
      <c r="A292" s="7" t="s">
        <v>1045</v>
      </c>
      <c r="B292" s="7" t="s">
        <v>1046</v>
      </c>
      <c r="C292" s="7" t="s">
        <v>1043</v>
      </c>
      <c r="D292" s="6"/>
      <c r="E292" s="7" t="s">
        <v>1047</v>
      </c>
      <c r="F292" s="7" t="s">
        <v>1046</v>
      </c>
      <c r="G292" s="6"/>
      <c r="H292" s="6" t="str">
        <f>_xll.BDP($A292,"IPO_OFFER_PX_TO_LAST_CLOSE_%_CHG",$A$1,$A$2)</f>
        <v>#N/A N/A</v>
      </c>
      <c r="I292" s="6">
        <f>_xll.BDP($A292,"IPO_OFFER_PX_TO_1ST_OPEN_%_CHG",$A$1,$A$2)</f>
        <v>171.05260000000001</v>
      </c>
      <c r="J292" s="6">
        <v>19</v>
      </c>
      <c r="K292" s="6">
        <v>5000000</v>
      </c>
      <c r="L292" s="7"/>
      <c r="M292" s="7"/>
      <c r="N292" s="7"/>
    </row>
    <row r="293" spans="1:14" s="4" customFormat="1" ht="13.2" x14ac:dyDescent="0.25">
      <c r="A293" s="7" t="s">
        <v>1048</v>
      </c>
      <c r="B293" s="7" t="s">
        <v>1049</v>
      </c>
      <c r="C293" s="7" t="s">
        <v>1043</v>
      </c>
      <c r="D293" s="6"/>
      <c r="E293" s="7" t="s">
        <v>1050</v>
      </c>
      <c r="F293" s="7" t="s">
        <v>1049</v>
      </c>
      <c r="G293" s="6"/>
      <c r="H293" s="6" t="str">
        <f>_xll.BDP($A293,"IPO_OFFER_PX_TO_LAST_CLOSE_%_CHG",$A$1,$A$2)</f>
        <v>#N/A N/A</v>
      </c>
      <c r="I293" s="6">
        <f>_xll.BDP($A293,"IPO_OFFER_PX_TO_1ST_OPEN_%_CHG",$A$1,$A$2)</f>
        <v>213.33330000000001</v>
      </c>
      <c r="J293" s="6">
        <v>30</v>
      </c>
      <c r="K293" s="6">
        <v>4000000</v>
      </c>
      <c r="L293" s="7"/>
      <c r="M293" s="7"/>
      <c r="N293" s="7"/>
    </row>
    <row r="294" spans="1:14" s="4" customFormat="1" ht="13.2" x14ac:dyDescent="0.25">
      <c r="A294" s="7" t="s">
        <v>1051</v>
      </c>
      <c r="B294" s="7" t="s">
        <v>1052</v>
      </c>
      <c r="C294" s="7" t="s">
        <v>1053</v>
      </c>
      <c r="D294" s="6"/>
      <c r="E294" s="7" t="s">
        <v>1054</v>
      </c>
      <c r="F294" s="7" t="s">
        <v>1052</v>
      </c>
      <c r="G294" s="6"/>
      <c r="H294" s="6" t="str">
        <f>_xll.BDP($A294,"IPO_OFFER_PX_TO_LAST_CLOSE_%_CHG",$A$1,$A$2)</f>
        <v>#N/A N/A</v>
      </c>
      <c r="I294" s="6">
        <f>_xll.BDP($A294,"IPO_OFFER_PX_TO_1ST_OPEN_%_CHG",$A$1,$A$2)</f>
        <v>44.44444</v>
      </c>
      <c r="J294" s="6">
        <v>18</v>
      </c>
      <c r="K294" s="6">
        <v>4000000</v>
      </c>
      <c r="L294" s="7"/>
      <c r="M294" s="7"/>
      <c r="N294" s="7"/>
    </row>
    <row r="295" spans="1:14" s="4" customFormat="1" ht="13.2" x14ac:dyDescent="0.25">
      <c r="A295" s="7" t="s">
        <v>1055</v>
      </c>
      <c r="B295" s="7" t="s">
        <v>1056</v>
      </c>
      <c r="C295" s="7" t="s">
        <v>1057</v>
      </c>
      <c r="D295" s="6"/>
      <c r="E295" s="7" t="s">
        <v>1058</v>
      </c>
      <c r="F295" s="7" t="s">
        <v>1056</v>
      </c>
      <c r="G295" s="6"/>
      <c r="H295" s="6" t="str">
        <f>_xll.BDP($A295,"IPO_OFFER_PX_TO_LAST_CLOSE_%_CHG",$A$1,$A$2)</f>
        <v>#N/A N/A</v>
      </c>
      <c r="I295" s="6">
        <f>_xll.BDP($A295,"IPO_OFFER_PX_TO_1ST_OPEN_%_CHG",$A$1,$A$2)</f>
        <v>42.647060000000003</v>
      </c>
      <c r="J295" s="6">
        <v>17</v>
      </c>
      <c r="K295" s="6">
        <v>10000000</v>
      </c>
      <c r="L295" s="7"/>
      <c r="M295" s="7"/>
      <c r="N295" s="7"/>
    </row>
    <row r="296" spans="1:14" s="4" customFormat="1" ht="13.2" x14ac:dyDescent="0.25">
      <c r="A296" s="7" t="s">
        <v>1059</v>
      </c>
      <c r="B296" s="7" t="s">
        <v>1060</v>
      </c>
      <c r="C296" s="7" t="s">
        <v>1057</v>
      </c>
      <c r="D296" s="6"/>
      <c r="E296" s="7" t="s">
        <v>1061</v>
      </c>
      <c r="F296" s="7" t="s">
        <v>1060</v>
      </c>
      <c r="G296" s="6"/>
      <c r="H296" s="6" t="str">
        <f>_xll.BDP($A296,"IPO_OFFER_PX_TO_LAST_CLOSE_%_CHG",$A$1,$A$2)</f>
        <v>#N/A N/A</v>
      </c>
      <c r="I296" s="6">
        <f>_xll.BDP($A296,"IPO_OFFER_PX_TO_1ST_OPEN_%_CHG",$A$1,$A$2)</f>
        <v>35</v>
      </c>
      <c r="J296" s="6">
        <v>10</v>
      </c>
      <c r="K296" s="6">
        <v>4500000</v>
      </c>
      <c r="L296" s="7"/>
      <c r="M296" s="7"/>
      <c r="N296" s="7"/>
    </row>
    <row r="297" spans="1:14" s="4" customFormat="1" ht="13.2" x14ac:dyDescent="0.25">
      <c r="A297" s="7" t="s">
        <v>1062</v>
      </c>
      <c r="B297" s="7" t="s">
        <v>1063</v>
      </c>
      <c r="C297" s="7" t="s">
        <v>1064</v>
      </c>
      <c r="D297" s="6"/>
      <c r="E297" s="7" t="s">
        <v>1065</v>
      </c>
      <c r="F297" s="7" t="s">
        <v>1063</v>
      </c>
      <c r="G297" s="6"/>
      <c r="H297" s="6" t="str">
        <f>_xll.BDP($A297,"IPO_OFFER_PX_TO_LAST_CLOSE_%_CHG",$A$1,$A$2)</f>
        <v>#N/A N/A</v>
      </c>
      <c r="I297" s="6">
        <f>_xll.BDP($A297,"IPO_OFFER_PX_TO_1ST_OPEN_%_CHG",$A$1,$A$2)</f>
        <v>85</v>
      </c>
      <c r="J297" s="6">
        <v>20</v>
      </c>
      <c r="K297" s="6">
        <v>10000000</v>
      </c>
      <c r="L297" s="7"/>
      <c r="M297" s="7"/>
      <c r="N297" s="7"/>
    </row>
    <row r="298" spans="1:14" s="4" customFormat="1" ht="13.2" x14ac:dyDescent="0.25">
      <c r="A298" s="7" t="s">
        <v>1066</v>
      </c>
      <c r="B298" s="7" t="s">
        <v>1067</v>
      </c>
      <c r="C298" s="7" t="s">
        <v>1068</v>
      </c>
      <c r="D298" s="6"/>
      <c r="E298" s="7" t="s">
        <v>1069</v>
      </c>
      <c r="F298" s="7" t="s">
        <v>1067</v>
      </c>
      <c r="G298" s="6"/>
      <c r="H298" s="6" t="str">
        <f>_xll.BDP($A298,"IPO_OFFER_PX_TO_LAST_CLOSE_%_CHG",$A$1,$A$2)</f>
        <v>#N/A N/A</v>
      </c>
      <c r="I298" s="6">
        <f>_xll.BDP($A298,"IPO_OFFER_PX_TO_1ST_OPEN_%_CHG",$A$1,$A$2)</f>
        <v>77.777780000000007</v>
      </c>
      <c r="J298" s="6">
        <v>18</v>
      </c>
      <c r="K298" s="6">
        <v>3500000</v>
      </c>
      <c r="L298" s="7"/>
      <c r="M298" s="7"/>
      <c r="N298" s="7"/>
    </row>
    <row r="299" spans="1:14" s="4" customFormat="1" ht="13.2" x14ac:dyDescent="0.25">
      <c r="A299" s="7" t="s">
        <v>1070</v>
      </c>
      <c r="B299" s="7" t="s">
        <v>1071</v>
      </c>
      <c r="C299" s="7" t="s">
        <v>1068</v>
      </c>
      <c r="D299" s="6"/>
      <c r="E299" s="7" t="s">
        <v>1072</v>
      </c>
      <c r="F299" s="7" t="s">
        <v>1071</v>
      </c>
      <c r="G299" s="6"/>
      <c r="H299" s="6" t="str">
        <f>_xll.BDP($A299,"IPO_OFFER_PX_TO_LAST_CLOSE_%_CHG",$A$1,$A$2)</f>
        <v>#N/A N/A</v>
      </c>
      <c r="I299" s="6">
        <f>_xll.BDP($A299,"IPO_OFFER_PX_TO_1ST_OPEN_%_CHG",$A$1,$A$2)</f>
        <v>170.83330000000001</v>
      </c>
      <c r="J299" s="6">
        <v>24</v>
      </c>
      <c r="K299" s="6">
        <v>5000000</v>
      </c>
      <c r="L299" s="7"/>
      <c r="M299" s="7"/>
      <c r="N299" s="7"/>
    </row>
    <row r="300" spans="1:14" s="4" customFormat="1" ht="13.2" x14ac:dyDescent="0.25">
      <c r="A300" s="7" t="s">
        <v>1073</v>
      </c>
      <c r="B300" s="7" t="s">
        <v>1074</v>
      </c>
      <c r="C300" s="7" t="s">
        <v>1068</v>
      </c>
      <c r="D300" s="6"/>
      <c r="E300" s="7" t="s">
        <v>1075</v>
      </c>
      <c r="F300" s="7" t="s">
        <v>1074</v>
      </c>
      <c r="G300" s="6"/>
      <c r="H300" s="6" t="str">
        <f>_xll.BDP($A300,"IPO_OFFER_PX_TO_LAST_CLOSE_%_CHG",$A$1,$A$2)</f>
        <v>#N/A N/A</v>
      </c>
      <c r="I300" s="6">
        <f>_xll.BDP($A300,"IPO_OFFER_PX_TO_1ST_OPEN_%_CHG",$A$1,$A$2)</f>
        <v>154.16669999999999</v>
      </c>
      <c r="J300" s="6">
        <v>24</v>
      </c>
      <c r="K300" s="6">
        <v>3850000</v>
      </c>
      <c r="L300" s="7"/>
      <c r="M300" s="7"/>
      <c r="N300" s="7"/>
    </row>
    <row r="301" spans="1:14" s="4" customFormat="1" ht="13.2" x14ac:dyDescent="0.25">
      <c r="A301" s="7" t="s">
        <v>1076</v>
      </c>
      <c r="B301" s="7" t="s">
        <v>1077</v>
      </c>
      <c r="C301" s="7" t="s">
        <v>1078</v>
      </c>
      <c r="D301" s="6"/>
      <c r="E301" s="7" t="s">
        <v>1079</v>
      </c>
      <c r="F301" s="7" t="s">
        <v>1077</v>
      </c>
      <c r="G301" s="6"/>
      <c r="H301" s="6" t="str">
        <f>_xll.BDP($A301,"IPO_OFFER_PX_TO_LAST_CLOSE_%_CHG",$A$1,$A$2)</f>
        <v>#N/A N/A</v>
      </c>
      <c r="I301" s="6">
        <f>_xll.BDP($A301,"IPO_OFFER_PX_TO_1ST_OPEN_%_CHG",$A$1,$A$2)</f>
        <v>113.33329999999999</v>
      </c>
      <c r="J301" s="6">
        <v>15</v>
      </c>
      <c r="K301" s="6">
        <v>5500000</v>
      </c>
      <c r="L301" s="7"/>
      <c r="M301" s="7"/>
      <c r="N301" s="7"/>
    </row>
    <row r="302" spans="1:14" s="4" customFormat="1" ht="13.2" x14ac:dyDescent="0.25">
      <c r="A302" s="7" t="s">
        <v>1080</v>
      </c>
      <c r="B302" s="7" t="s">
        <v>1081</v>
      </c>
      <c r="C302" s="7" t="s">
        <v>1078</v>
      </c>
      <c r="D302" s="6"/>
      <c r="E302" s="7" t="s">
        <v>1082</v>
      </c>
      <c r="F302" s="7" t="s">
        <v>1081</v>
      </c>
      <c r="G302" s="6"/>
      <c r="H302" s="6" t="str">
        <f>_xll.BDP($A302,"IPO_OFFER_PX_TO_LAST_CLOSE_%_CHG",$A$1,$A$2)</f>
        <v>#N/A N/A</v>
      </c>
      <c r="I302" s="6">
        <f>_xll.BDP($A302,"IPO_OFFER_PX_TO_1ST_OPEN_%_CHG",$A$1,$A$2)</f>
        <v>5</v>
      </c>
      <c r="J302" s="6">
        <v>10</v>
      </c>
      <c r="K302" s="6">
        <v>10400000</v>
      </c>
      <c r="L302" s="7"/>
      <c r="M302" s="7"/>
      <c r="N302" s="7"/>
    </row>
    <row r="303" spans="1:14" s="4" customFormat="1" ht="13.2" x14ac:dyDescent="0.25">
      <c r="A303" s="7" t="s">
        <v>1083</v>
      </c>
      <c r="B303" s="7" t="s">
        <v>1084</v>
      </c>
      <c r="C303" s="7" t="s">
        <v>1078</v>
      </c>
      <c r="D303" s="6"/>
      <c r="E303" s="7" t="s">
        <v>1085</v>
      </c>
      <c r="F303" s="7" t="s">
        <v>1084</v>
      </c>
      <c r="G303" s="6"/>
      <c r="H303" s="6" t="str">
        <f>_xll.BDP($A303,"IPO_OFFER_PX_TO_LAST_CLOSE_%_CHG",$A$1,$A$2)</f>
        <v>#N/A N/A</v>
      </c>
      <c r="I303" s="6">
        <f>_xll.BDP($A303,"IPO_OFFER_PX_TO_1ST_OPEN_%_CHG",$A$1,$A$2)</f>
        <v>281.57889999999998</v>
      </c>
      <c r="J303" s="6">
        <v>38</v>
      </c>
      <c r="K303" s="6">
        <v>23000000</v>
      </c>
      <c r="L303" s="7"/>
      <c r="M303" s="7"/>
      <c r="N303" s="7"/>
    </row>
    <row r="304" spans="1:14" s="4" customFormat="1" ht="13.2" x14ac:dyDescent="0.25">
      <c r="A304" s="7" t="s">
        <v>1086</v>
      </c>
      <c r="B304" s="7" t="s">
        <v>1087</v>
      </c>
      <c r="C304" s="7" t="s">
        <v>1088</v>
      </c>
      <c r="D304" s="6"/>
      <c r="E304" s="7" t="s">
        <v>1089</v>
      </c>
      <c r="F304" s="7" t="s">
        <v>1087</v>
      </c>
      <c r="G304" s="6"/>
      <c r="H304" s="6" t="str">
        <f>_xll.BDP($A304,"IPO_OFFER_PX_TO_LAST_CLOSE_%_CHG",$A$1,$A$2)</f>
        <v>#N/A N/A</v>
      </c>
      <c r="I304" s="6">
        <f>_xll.BDP($A304,"IPO_OFFER_PX_TO_1ST_OPEN_%_CHG",$A$1,$A$2)</f>
        <v>119.0476</v>
      </c>
      <c r="J304" s="6">
        <v>21</v>
      </c>
      <c r="K304" s="6">
        <v>8000000</v>
      </c>
      <c r="L304" s="7"/>
      <c r="M304" s="7"/>
      <c r="N304" s="7"/>
    </row>
    <row r="305" spans="1:14" s="4" customFormat="1" ht="13.2" x14ac:dyDescent="0.25">
      <c r="A305" s="7" t="s">
        <v>1090</v>
      </c>
      <c r="B305" s="7" t="s">
        <v>1091</v>
      </c>
      <c r="C305" s="7" t="s">
        <v>1088</v>
      </c>
      <c r="D305" s="6"/>
      <c r="E305" s="7" t="s">
        <v>1092</v>
      </c>
      <c r="F305" s="7" t="s">
        <v>1091</v>
      </c>
      <c r="G305" s="6"/>
      <c r="H305" s="6" t="str">
        <f>_xll.BDP($A305,"IPO_OFFER_PX_TO_LAST_CLOSE_%_CHG",$A$1,$A$2)</f>
        <v>#N/A N/A</v>
      </c>
      <c r="I305" s="6">
        <f>_xll.BDP($A305,"IPO_OFFER_PX_TO_1ST_OPEN_%_CHG",$A$1,$A$2)</f>
        <v>180</v>
      </c>
      <c r="J305" s="6">
        <v>25</v>
      </c>
      <c r="K305" s="6">
        <v>5000000</v>
      </c>
      <c r="L305" s="7"/>
      <c r="M305" s="7"/>
      <c r="N305" s="7"/>
    </row>
    <row r="306" spans="1:14" s="4" customFormat="1" ht="13.2" x14ac:dyDescent="0.25">
      <c r="A306" s="7" t="s">
        <v>1093</v>
      </c>
      <c r="B306" s="7" t="s">
        <v>1094</v>
      </c>
      <c r="C306" s="7" t="s">
        <v>1095</v>
      </c>
      <c r="D306" s="6"/>
      <c r="E306" s="7" t="s">
        <v>1096</v>
      </c>
      <c r="F306" s="7" t="s">
        <v>1094</v>
      </c>
      <c r="G306" s="6"/>
      <c r="H306" s="6" t="str">
        <f>_xll.BDP($A306,"IPO_OFFER_PX_TO_LAST_CLOSE_%_CHG",$A$1,$A$2)</f>
        <v>#N/A N/A</v>
      </c>
      <c r="I306" s="6">
        <f>_xll.BDP($A306,"IPO_OFFER_PX_TO_1ST_OPEN_%_CHG",$A$1,$A$2)</f>
        <v>166.66669999999999</v>
      </c>
      <c r="J306" s="6">
        <v>24</v>
      </c>
      <c r="K306" s="6">
        <v>8000000</v>
      </c>
      <c r="L306" s="7"/>
      <c r="M306" s="7"/>
      <c r="N306" s="7"/>
    </row>
    <row r="307" spans="1:14" s="4" customFormat="1" ht="13.2" x14ac:dyDescent="0.25">
      <c r="A307" s="7" t="s">
        <v>1097</v>
      </c>
      <c r="B307" s="7" t="s">
        <v>1098</v>
      </c>
      <c r="C307" s="7" t="s">
        <v>1095</v>
      </c>
      <c r="D307" s="6"/>
      <c r="E307" s="7" t="s">
        <v>1099</v>
      </c>
      <c r="F307" s="7" t="s">
        <v>1098</v>
      </c>
      <c r="G307" s="6"/>
      <c r="H307" s="6" t="str">
        <f>_xll.BDP($A307,"IPO_OFFER_PX_TO_LAST_CLOSE_%_CHG",$A$1,$A$2)</f>
        <v>#N/A N/A</v>
      </c>
      <c r="I307" s="6">
        <f>_xll.BDP($A307,"IPO_OFFER_PX_TO_1ST_OPEN_%_CHG",$A$1,$A$2)</f>
        <v>177.77780000000001</v>
      </c>
      <c r="J307" s="6">
        <v>18</v>
      </c>
      <c r="K307" s="6">
        <v>4250000</v>
      </c>
      <c r="L307" s="7"/>
      <c r="M307" s="7"/>
      <c r="N307" s="7"/>
    </row>
    <row r="308" spans="1:14" s="4" customFormat="1" ht="13.2" x14ac:dyDescent="0.25">
      <c r="A308" s="7" t="s">
        <v>1100</v>
      </c>
      <c r="B308" s="7" t="s">
        <v>1101</v>
      </c>
      <c r="C308" s="7" t="s">
        <v>1095</v>
      </c>
      <c r="D308" s="6"/>
      <c r="E308" s="7" t="s">
        <v>1102</v>
      </c>
      <c r="F308" s="7" t="s">
        <v>1101</v>
      </c>
      <c r="G308" s="6"/>
      <c r="H308" s="6" t="str">
        <f>_xll.BDP($A308,"IPO_OFFER_PX_TO_LAST_CLOSE_%_CHG",$A$1,$A$2)</f>
        <v>#N/A N/A</v>
      </c>
      <c r="I308" s="6">
        <f>_xll.BDP($A308,"IPO_OFFER_PX_TO_1ST_OPEN_%_CHG",$A$1,$A$2)</f>
        <v>200</v>
      </c>
      <c r="J308" s="6">
        <v>24</v>
      </c>
      <c r="K308" s="6">
        <v>5250000</v>
      </c>
      <c r="L308" s="7"/>
      <c r="M308" s="7"/>
      <c r="N308" s="7"/>
    </row>
    <row r="309" spans="1:14" s="4" customFormat="1" ht="13.2" x14ac:dyDescent="0.25">
      <c r="A309" s="7" t="s">
        <v>1103</v>
      </c>
      <c r="B309" s="7" t="s">
        <v>1104</v>
      </c>
      <c r="C309" s="7" t="s">
        <v>1105</v>
      </c>
      <c r="D309" s="6"/>
      <c r="E309" s="7" t="s">
        <v>1106</v>
      </c>
      <c r="F309" s="7" t="s">
        <v>1104</v>
      </c>
      <c r="G309" s="6"/>
      <c r="H309" s="6" t="str">
        <f>_xll.BDP($A309,"IPO_OFFER_PX_TO_LAST_CLOSE_%_CHG",$A$1,$A$2)</f>
        <v>#N/A N/A</v>
      </c>
      <c r="I309" s="6">
        <f>_xll.BDP($A309,"IPO_OFFER_PX_TO_1ST_OPEN_%_CHG",$A$1,$A$2)</f>
        <v>48</v>
      </c>
      <c r="J309" s="6">
        <v>25</v>
      </c>
      <c r="K309" s="6">
        <v>20000000</v>
      </c>
      <c r="L309" s="7"/>
      <c r="M309" s="7"/>
      <c r="N309" s="7"/>
    </row>
    <row r="310" spans="1:14" s="4" customFormat="1" ht="13.2" x14ac:dyDescent="0.25">
      <c r="A310" s="7" t="s">
        <v>1107</v>
      </c>
      <c r="B310" s="7" t="s">
        <v>1108</v>
      </c>
      <c r="C310" s="7" t="s">
        <v>1109</v>
      </c>
      <c r="D310" s="6"/>
      <c r="E310" s="7" t="s">
        <v>1110</v>
      </c>
      <c r="F310" s="7" t="s">
        <v>1108</v>
      </c>
      <c r="G310" s="6"/>
      <c r="H310" s="6" t="str">
        <f>_xll.BDP($A310,"IPO_OFFER_PX_TO_LAST_CLOSE_%_CHG",$A$1,$A$2)</f>
        <v>#N/A N/A</v>
      </c>
      <c r="I310" s="6">
        <f>_xll.BDP($A310,"IPO_OFFER_PX_TO_1ST_OPEN_%_CHG",$A$1,$A$2)</f>
        <v>53.90625</v>
      </c>
      <c r="J310" s="6">
        <v>16</v>
      </c>
      <c r="K310" s="6">
        <v>5400000</v>
      </c>
      <c r="L310" s="7"/>
      <c r="M310" s="7"/>
      <c r="N310" s="7"/>
    </row>
    <row r="311" spans="1:14" s="4" customFormat="1" ht="13.2" x14ac:dyDescent="0.25">
      <c r="A311" s="7" t="s">
        <v>1111</v>
      </c>
      <c r="B311" s="7" t="s">
        <v>1112</v>
      </c>
      <c r="C311" s="7" t="s">
        <v>1109</v>
      </c>
      <c r="D311" s="6"/>
      <c r="E311" s="7" t="s">
        <v>1113</v>
      </c>
      <c r="F311" s="7" t="s">
        <v>1112</v>
      </c>
      <c r="G311" s="6"/>
      <c r="H311" s="6" t="str">
        <f>_xll.BDP($A311,"IPO_OFFER_PX_TO_LAST_CLOSE_%_CHG",$A$1,$A$2)</f>
        <v>#N/A N/A</v>
      </c>
      <c r="I311" s="6">
        <f>_xll.BDP($A311,"IPO_OFFER_PX_TO_1ST_OPEN_%_CHG",$A$1,$A$2)</f>
        <v>85.714290000000005</v>
      </c>
      <c r="J311" s="6">
        <v>14</v>
      </c>
      <c r="K311" s="6">
        <v>4400000</v>
      </c>
      <c r="L311" s="7"/>
      <c r="M311" s="7"/>
      <c r="N311" s="7"/>
    </row>
    <row r="312" spans="1:14" s="4" customFormat="1" ht="13.2" x14ac:dyDescent="0.25">
      <c r="A312" s="7" t="s">
        <v>1114</v>
      </c>
      <c r="B312" s="7" t="s">
        <v>1115</v>
      </c>
      <c r="C312" s="7" t="s">
        <v>1116</v>
      </c>
      <c r="D312" s="6"/>
      <c r="E312" s="7" t="s">
        <v>1117</v>
      </c>
      <c r="F312" s="7" t="s">
        <v>1115</v>
      </c>
      <c r="G312" s="6"/>
      <c r="H312" s="6" t="str">
        <f>_xll.BDP($A312,"IPO_OFFER_PX_TO_LAST_CLOSE_%_CHG",$A$1,$A$2)</f>
        <v>#N/A N/A</v>
      </c>
      <c r="I312" s="6">
        <f>_xll.BDP($A312,"IPO_OFFER_PX_TO_1ST_OPEN_%_CHG",$A$1,$A$2)</f>
        <v>45</v>
      </c>
      <c r="J312" s="6">
        <v>20</v>
      </c>
      <c r="K312" s="6">
        <v>23500000</v>
      </c>
      <c r="L312" s="7"/>
      <c r="M312" s="7"/>
      <c r="N312" s="7"/>
    </row>
    <row r="313" spans="1:14" s="4" customFormat="1" ht="13.2" x14ac:dyDescent="0.25">
      <c r="A313" s="7" t="s">
        <v>1118</v>
      </c>
      <c r="B313" s="7" t="s">
        <v>1119</v>
      </c>
      <c r="C313" s="7" t="s">
        <v>1120</v>
      </c>
      <c r="D313" s="6"/>
      <c r="E313" s="7" t="s">
        <v>1121</v>
      </c>
      <c r="F313" s="7" t="s">
        <v>1119</v>
      </c>
      <c r="G313" s="6"/>
      <c r="H313" s="6" t="str">
        <f>_xll.BDP($A313,"IPO_OFFER_PX_TO_LAST_CLOSE_%_CHG",$A$1,$A$2)</f>
        <v>#N/A N/A</v>
      </c>
      <c r="I313" s="6">
        <f>_xll.BDP($A313,"IPO_OFFER_PX_TO_1ST_OPEN_%_CHG",$A$1,$A$2)</f>
        <v>28.571429999999999</v>
      </c>
      <c r="J313" s="6">
        <v>7</v>
      </c>
      <c r="K313" s="6">
        <v>1000000</v>
      </c>
      <c r="L313" s="7"/>
      <c r="M313" s="7"/>
      <c r="N313" s="7"/>
    </row>
    <row r="314" spans="1:14" s="4" customFormat="1" ht="13.2" x14ac:dyDescent="0.25">
      <c r="A314" s="7" t="s">
        <v>1122</v>
      </c>
      <c r="B314" s="7" t="s">
        <v>1123</v>
      </c>
      <c r="C314" s="7" t="s">
        <v>1120</v>
      </c>
      <c r="D314" s="6"/>
      <c r="E314" s="7" t="s">
        <v>1124</v>
      </c>
      <c r="F314" s="7" t="s">
        <v>1123</v>
      </c>
      <c r="G314" s="6"/>
      <c r="H314" s="6" t="str">
        <f>_xll.BDP($A314,"IPO_OFFER_PX_TO_LAST_CLOSE_%_CHG",$A$1,$A$2)</f>
        <v>#N/A N/A</v>
      </c>
      <c r="I314" s="6">
        <f>_xll.BDP($A314,"IPO_OFFER_PX_TO_1ST_OPEN_%_CHG",$A$1,$A$2)</f>
        <v>156.25</v>
      </c>
      <c r="J314" s="6">
        <v>32</v>
      </c>
      <c r="K314" s="6">
        <v>2000000</v>
      </c>
      <c r="L314" s="7"/>
      <c r="M314" s="7"/>
      <c r="N314" s="7"/>
    </row>
    <row r="315" spans="1:14" s="4" customFormat="1" ht="13.2" x14ac:dyDescent="0.25">
      <c r="A315" s="7" t="s">
        <v>1125</v>
      </c>
      <c r="B315" s="7" t="s">
        <v>1126</v>
      </c>
      <c r="C315" s="7" t="s">
        <v>1127</v>
      </c>
      <c r="D315" s="6"/>
      <c r="E315" s="7" t="s">
        <v>1128</v>
      </c>
      <c r="F315" s="7" t="s">
        <v>1126</v>
      </c>
      <c r="G315" s="6"/>
      <c r="H315" s="6" t="str">
        <f>_xll.BDP($A315,"IPO_OFFER_PX_TO_LAST_CLOSE_%_CHG",$A$1,$A$2)</f>
        <v>#N/A N/A</v>
      </c>
      <c r="I315" s="6">
        <f>_xll.BDP($A315,"IPO_OFFER_PX_TO_1ST_OPEN_%_CHG",$A$1,$A$2)</f>
        <v>37.5</v>
      </c>
      <c r="J315" s="6">
        <v>12</v>
      </c>
      <c r="K315" s="6">
        <v>3650000</v>
      </c>
      <c r="L315" s="7"/>
      <c r="M315" s="7"/>
      <c r="N315" s="7"/>
    </row>
    <row r="316" spans="1:14" s="4" customFormat="1" ht="13.2" x14ac:dyDescent="0.25">
      <c r="A316" s="7" t="s">
        <v>1129</v>
      </c>
      <c r="B316" s="7" t="s">
        <v>1130</v>
      </c>
      <c r="C316" s="7" t="s">
        <v>1127</v>
      </c>
      <c r="D316" s="6"/>
      <c r="E316" s="7" t="s">
        <v>1131</v>
      </c>
      <c r="F316" s="7" t="s">
        <v>1130</v>
      </c>
      <c r="G316" s="6"/>
      <c r="H316" s="6" t="str">
        <f>_xll.BDP($A316,"IPO_OFFER_PX_TO_LAST_CLOSE_%_CHG",$A$1,$A$2)</f>
        <v>#N/A N/A</v>
      </c>
      <c r="I316" s="6">
        <f>_xll.BDP($A316,"IPO_OFFER_PX_TO_1ST_OPEN_%_CHG",$A$1,$A$2)</f>
        <v>0</v>
      </c>
      <c r="J316" s="6">
        <v>10</v>
      </c>
      <c r="K316" s="6">
        <v>1581370</v>
      </c>
      <c r="L316" s="7"/>
      <c r="M316" s="7"/>
      <c r="N316" s="7"/>
    </row>
    <row r="317" spans="1:14" s="4" customFormat="1" ht="13.2" x14ac:dyDescent="0.25">
      <c r="A317" s="7" t="s">
        <v>1132</v>
      </c>
      <c r="B317" s="7" t="s">
        <v>1133</v>
      </c>
      <c r="C317" s="7" t="s">
        <v>1127</v>
      </c>
      <c r="D317" s="6"/>
      <c r="E317" s="7" t="s">
        <v>1134</v>
      </c>
      <c r="F317" s="7" t="s">
        <v>1133</v>
      </c>
      <c r="G317" s="6"/>
      <c r="H317" s="6" t="str">
        <f>_xll.BDP($A317,"IPO_OFFER_PX_TO_LAST_CLOSE_%_CHG",$A$1,$A$2)</f>
        <v>#N/A N/A</v>
      </c>
      <c r="I317" s="6">
        <f>_xll.BDP($A317,"IPO_OFFER_PX_TO_1ST_OPEN_%_CHG",$A$1,$A$2)</f>
        <v>125</v>
      </c>
      <c r="J317" s="6">
        <v>16</v>
      </c>
      <c r="K317" s="6">
        <v>4500000</v>
      </c>
      <c r="L317" s="7"/>
      <c r="M317" s="7"/>
      <c r="N317" s="7"/>
    </row>
    <row r="318" spans="1:14" s="4" customFormat="1" ht="13.2" x14ac:dyDescent="0.25">
      <c r="A318" s="7" t="s">
        <v>1135</v>
      </c>
      <c r="B318" s="7" t="s">
        <v>1136</v>
      </c>
      <c r="C318" s="7" t="s">
        <v>1127</v>
      </c>
      <c r="D318" s="6"/>
      <c r="E318" s="7" t="s">
        <v>1137</v>
      </c>
      <c r="F318" s="7" t="s">
        <v>1136</v>
      </c>
      <c r="G318" s="6"/>
      <c r="H318" s="6" t="str">
        <f>_xll.BDP($A318,"IPO_OFFER_PX_TO_LAST_CLOSE_%_CHG",$A$1,$A$2)</f>
        <v>#N/A N/A</v>
      </c>
      <c r="I318" s="6">
        <f>_xll.BDP($A318,"IPO_OFFER_PX_TO_1ST_OPEN_%_CHG",$A$1,$A$2)</f>
        <v>127.2727</v>
      </c>
      <c r="J318" s="6">
        <v>22</v>
      </c>
      <c r="K318" s="6">
        <v>3700000</v>
      </c>
      <c r="L318" s="7"/>
      <c r="M318" s="7"/>
      <c r="N318" s="7"/>
    </row>
    <row r="319" spans="1:14" s="4" customFormat="1" ht="13.2" x14ac:dyDescent="0.25">
      <c r="A319" s="7" t="s">
        <v>1138</v>
      </c>
      <c r="B319" s="7" t="s">
        <v>1139</v>
      </c>
      <c r="C319" s="7" t="s">
        <v>1127</v>
      </c>
      <c r="D319" s="6"/>
      <c r="E319" s="7" t="s">
        <v>1140</v>
      </c>
      <c r="F319" s="7" t="s">
        <v>1139</v>
      </c>
      <c r="G319" s="6"/>
      <c r="H319" s="6" t="str">
        <f>_xll.BDP($A319,"IPO_OFFER_PX_TO_LAST_CLOSE_%_CHG",$A$1,$A$2)</f>
        <v>#N/A N/A</v>
      </c>
      <c r="I319" s="6">
        <f>_xll.BDP($A319,"IPO_OFFER_PX_TO_1ST_OPEN_%_CHG",$A$1,$A$2)</f>
        <v>35</v>
      </c>
      <c r="J319" s="6">
        <v>20</v>
      </c>
      <c r="K319" s="6">
        <v>7145000</v>
      </c>
      <c r="L319" s="7"/>
      <c r="M319" s="7"/>
      <c r="N319" s="7"/>
    </row>
    <row r="320" spans="1:14" s="4" customFormat="1" ht="13.2" x14ac:dyDescent="0.25">
      <c r="A320" s="7" t="s">
        <v>1141</v>
      </c>
      <c r="B320" s="7" t="s">
        <v>1142</v>
      </c>
      <c r="C320" s="7" t="s">
        <v>1143</v>
      </c>
      <c r="D320" s="6"/>
      <c r="E320" s="7" t="s">
        <v>1144</v>
      </c>
      <c r="F320" s="7" t="s">
        <v>1142</v>
      </c>
      <c r="G320" s="6"/>
      <c r="H320" s="6" t="str">
        <f>_xll.BDP($A320,"IPO_OFFER_PX_TO_LAST_CLOSE_%_CHG",$A$1,$A$2)</f>
        <v>#N/A N/A</v>
      </c>
      <c r="I320" s="6">
        <f>_xll.BDP($A320,"IPO_OFFER_PX_TO_1ST_OPEN_%_CHG",$A$1,$A$2)</f>
        <v>116.66670000000001</v>
      </c>
      <c r="J320" s="6">
        <v>24</v>
      </c>
      <c r="K320" s="6">
        <v>7250000</v>
      </c>
      <c r="L320" s="7"/>
      <c r="M320" s="7"/>
      <c r="N320" s="7"/>
    </row>
    <row r="321" spans="1:14" s="4" customFormat="1" ht="13.2" x14ac:dyDescent="0.25">
      <c r="A321" s="7" t="s">
        <v>1145</v>
      </c>
      <c r="B321" s="7" t="s">
        <v>1146</v>
      </c>
      <c r="C321" s="7" t="s">
        <v>1143</v>
      </c>
      <c r="D321" s="6"/>
      <c r="E321" s="7" t="s">
        <v>1147</v>
      </c>
      <c r="F321" s="7" t="s">
        <v>1146</v>
      </c>
      <c r="G321" s="6"/>
      <c r="H321" s="6" t="str">
        <f>_xll.BDP($A321,"IPO_OFFER_PX_TO_LAST_CLOSE_%_CHG",$A$1,$A$2)</f>
        <v>#N/A N/A</v>
      </c>
      <c r="I321" s="6">
        <f>_xll.BDP($A321,"IPO_OFFER_PX_TO_1ST_OPEN_%_CHG",$A$1,$A$2)</f>
        <v>20</v>
      </c>
      <c r="J321" s="6">
        <v>10</v>
      </c>
      <c r="K321" s="6">
        <v>4075000</v>
      </c>
      <c r="L321" s="7"/>
      <c r="M321" s="7"/>
      <c r="N321" s="7"/>
    </row>
    <row r="322" spans="1:14" s="4" customFormat="1" ht="13.2" x14ac:dyDescent="0.25">
      <c r="A322" s="7" t="s">
        <v>1148</v>
      </c>
      <c r="B322" s="7" t="s">
        <v>1149</v>
      </c>
      <c r="C322" s="7" t="s">
        <v>1143</v>
      </c>
      <c r="D322" s="6"/>
      <c r="E322" s="7" t="s">
        <v>1150</v>
      </c>
      <c r="F322" s="7" t="s">
        <v>1149</v>
      </c>
      <c r="G322" s="6"/>
      <c r="H322" s="6" t="str">
        <f>_xll.BDP($A322,"IPO_OFFER_PX_TO_LAST_CLOSE_%_CHG",$A$1,$A$2)</f>
        <v>#N/A N/A</v>
      </c>
      <c r="I322" s="6">
        <f>_xll.BDP($A322,"IPO_OFFER_PX_TO_1ST_OPEN_%_CHG",$A$1,$A$2)</f>
        <v>2.0833330000000001</v>
      </c>
      <c r="J322" s="6">
        <v>6</v>
      </c>
      <c r="K322" s="6">
        <v>1200000</v>
      </c>
      <c r="L322" s="7"/>
      <c r="M322" s="7"/>
      <c r="N322" s="7"/>
    </row>
    <row r="323" spans="1:14" s="4" customFormat="1" ht="13.2" x14ac:dyDescent="0.25">
      <c r="A323" s="7" t="s">
        <v>1151</v>
      </c>
      <c r="B323" s="7" t="s">
        <v>1152</v>
      </c>
      <c r="C323" s="7" t="s">
        <v>1143</v>
      </c>
      <c r="D323" s="6"/>
      <c r="E323" s="7" t="s">
        <v>1153</v>
      </c>
      <c r="F323" s="7" t="s">
        <v>1152</v>
      </c>
      <c r="G323" s="6"/>
      <c r="H323" s="6" t="str">
        <f>_xll.BDP($A323,"IPO_OFFER_PX_TO_LAST_CLOSE_%_CHG",$A$1,$A$2)</f>
        <v>#N/A N/A</v>
      </c>
      <c r="I323" s="6">
        <f>_xll.BDP($A323,"IPO_OFFER_PX_TO_1ST_OPEN_%_CHG",$A$1,$A$2)</f>
        <v>172.22219999999999</v>
      </c>
      <c r="J323" s="6">
        <v>18</v>
      </c>
      <c r="K323" s="6">
        <v>4500000</v>
      </c>
      <c r="L323" s="7"/>
      <c r="M323" s="7"/>
      <c r="N323" s="7"/>
    </row>
    <row r="324" spans="1:14" s="4" customFormat="1" ht="13.2" x14ac:dyDescent="0.25">
      <c r="A324" s="7" t="s">
        <v>1154</v>
      </c>
      <c r="B324" s="7" t="s">
        <v>1155</v>
      </c>
      <c r="C324" s="7" t="s">
        <v>1143</v>
      </c>
      <c r="D324" s="6"/>
      <c r="E324" s="7" t="s">
        <v>1156</v>
      </c>
      <c r="F324" s="7" t="s">
        <v>1155</v>
      </c>
      <c r="G324" s="6"/>
      <c r="H324" s="6" t="str">
        <f>_xll.BDP($A324,"IPO_OFFER_PX_TO_LAST_CLOSE_%_CHG",$A$1,$A$2)</f>
        <v>#N/A N/A</v>
      </c>
      <c r="I324" s="6">
        <f>_xll.BDP($A324,"IPO_OFFER_PX_TO_1ST_OPEN_%_CHG",$A$1,$A$2)</f>
        <v>14.58333</v>
      </c>
      <c r="J324" s="6">
        <v>24</v>
      </c>
      <c r="K324" s="6">
        <v>17000000</v>
      </c>
      <c r="L324" s="7"/>
      <c r="M324" s="7"/>
      <c r="N324" s="7"/>
    </row>
    <row r="325" spans="1:14" s="4" customFormat="1" ht="13.2" x14ac:dyDescent="0.25">
      <c r="A325" s="7" t="s">
        <v>1157</v>
      </c>
      <c r="B325" s="7" t="s">
        <v>1158</v>
      </c>
      <c r="C325" s="7" t="s">
        <v>1143</v>
      </c>
      <c r="D325" s="6"/>
      <c r="E325" s="7" t="s">
        <v>1159</v>
      </c>
      <c r="F325" s="7" t="s">
        <v>1158</v>
      </c>
      <c r="G325" s="6"/>
      <c r="H325" s="6" t="str">
        <f>_xll.BDP($A325,"IPO_OFFER_PX_TO_LAST_CLOSE_%_CHG",$A$1,$A$2)</f>
        <v>#N/A N/A</v>
      </c>
      <c r="I325" s="6">
        <f>_xll.BDP($A325,"IPO_OFFER_PX_TO_1ST_OPEN_%_CHG",$A$1,$A$2)</f>
        <v>116.66670000000001</v>
      </c>
      <c r="J325" s="6">
        <v>12</v>
      </c>
      <c r="K325" s="6">
        <v>1400000</v>
      </c>
      <c r="L325" s="7"/>
      <c r="M325" s="7"/>
      <c r="N325" s="7"/>
    </row>
    <row r="326" spans="1:14" s="4" customFormat="1" ht="13.2" x14ac:dyDescent="0.25">
      <c r="A326" s="7" t="s">
        <v>1160</v>
      </c>
      <c r="B326" s="7" t="s">
        <v>1161</v>
      </c>
      <c r="C326" s="7" t="s">
        <v>1143</v>
      </c>
      <c r="D326" s="6"/>
      <c r="E326" s="7" t="s">
        <v>1162</v>
      </c>
      <c r="F326" s="7" t="s">
        <v>1161</v>
      </c>
      <c r="G326" s="6"/>
      <c r="H326" s="6" t="str">
        <f>_xll.BDP($A326,"IPO_OFFER_PX_TO_LAST_CLOSE_%_CHG",$A$1,$A$2)</f>
        <v>#N/A N/A</v>
      </c>
      <c r="I326" s="6">
        <f>_xll.BDP($A326,"IPO_OFFER_PX_TO_1ST_OPEN_%_CHG",$A$1,$A$2)</f>
        <v>25</v>
      </c>
      <c r="J326" s="6">
        <v>8</v>
      </c>
      <c r="K326" s="6">
        <v>4000000</v>
      </c>
      <c r="L326" s="7"/>
      <c r="M326" s="7"/>
      <c r="N326" s="7"/>
    </row>
    <row r="327" spans="1:14" s="4" customFormat="1" ht="13.2" x14ac:dyDescent="0.25">
      <c r="A327" s="7" t="s">
        <v>1163</v>
      </c>
      <c r="B327" s="7" t="s">
        <v>1164</v>
      </c>
      <c r="C327" s="7" t="s">
        <v>1143</v>
      </c>
      <c r="D327" s="6"/>
      <c r="E327" s="7" t="s">
        <v>1165</v>
      </c>
      <c r="F327" s="7" t="s">
        <v>1164</v>
      </c>
      <c r="G327" s="6"/>
      <c r="H327" s="6" t="str">
        <f>_xll.BDP($A327,"IPO_OFFER_PX_TO_LAST_CLOSE_%_CHG",$A$1,$A$2)</f>
        <v>#N/A N/A</v>
      </c>
      <c r="I327" s="6">
        <f>_xll.BDP($A327,"IPO_OFFER_PX_TO_1ST_OPEN_%_CHG",$A$1,$A$2)</f>
        <v>0</v>
      </c>
      <c r="J327" s="6">
        <v>12</v>
      </c>
      <c r="K327" s="6">
        <v>3000000</v>
      </c>
      <c r="L327" s="7"/>
      <c r="M327" s="7"/>
      <c r="N327" s="7"/>
    </row>
    <row r="328" spans="1:14" s="4" customFormat="1" ht="13.2" x14ac:dyDescent="0.25">
      <c r="A328" s="7" t="s">
        <v>1166</v>
      </c>
      <c r="B328" s="7" t="s">
        <v>1167</v>
      </c>
      <c r="C328" s="7" t="s">
        <v>1168</v>
      </c>
      <c r="D328" s="6"/>
      <c r="E328" s="7" t="s">
        <v>1169</v>
      </c>
      <c r="F328" s="7" t="s">
        <v>1167</v>
      </c>
      <c r="G328" s="6"/>
      <c r="H328" s="6" t="str">
        <f>_xll.BDP($A328,"IPO_OFFER_PX_TO_LAST_CLOSE_%_CHG",$A$1,$A$2)</f>
        <v>#N/A N/A</v>
      </c>
      <c r="I328" s="6">
        <f>_xll.BDP($A328,"IPO_OFFER_PX_TO_1ST_OPEN_%_CHG",$A$1,$A$2)</f>
        <v>110</v>
      </c>
      <c r="J328" s="6">
        <v>20</v>
      </c>
      <c r="K328" s="6">
        <v>4000000</v>
      </c>
      <c r="L328" s="7"/>
      <c r="M328" s="7"/>
      <c r="N328" s="7"/>
    </row>
    <row r="329" spans="1:14" s="4" customFormat="1" ht="13.2" x14ac:dyDescent="0.25">
      <c r="A329" s="7" t="s">
        <v>1170</v>
      </c>
      <c r="B329" s="7" t="s">
        <v>1171</v>
      </c>
      <c r="C329" s="7" t="s">
        <v>1172</v>
      </c>
      <c r="D329" s="6"/>
      <c r="E329" s="7" t="s">
        <v>1173</v>
      </c>
      <c r="F329" s="7" t="s">
        <v>1171</v>
      </c>
      <c r="G329" s="6"/>
      <c r="H329" s="6" t="str">
        <f>_xll.BDP($A329,"IPO_OFFER_PX_TO_LAST_CLOSE_%_CHG",$A$1,$A$2)</f>
        <v>#N/A N/A</v>
      </c>
      <c r="I329" s="6">
        <f>_xll.BDP($A329,"IPO_OFFER_PX_TO_1ST_OPEN_%_CHG",$A$1,$A$2)</f>
        <v>22.727270000000001</v>
      </c>
      <c r="J329" s="6">
        <v>11</v>
      </c>
      <c r="K329" s="6">
        <v>7500000</v>
      </c>
      <c r="L329" s="7"/>
      <c r="M329" s="7"/>
      <c r="N329" s="7"/>
    </row>
    <row r="330" spans="1:14" s="4" customFormat="1" ht="13.2" x14ac:dyDescent="0.25">
      <c r="A330" s="7" t="s">
        <v>1174</v>
      </c>
      <c r="B330" s="7" t="s">
        <v>1175</v>
      </c>
      <c r="C330" s="7" t="s">
        <v>1172</v>
      </c>
      <c r="D330" s="6">
        <v>21.03</v>
      </c>
      <c r="E330" s="7" t="s">
        <v>1176</v>
      </c>
      <c r="F330" s="7" t="s">
        <v>1175</v>
      </c>
      <c r="G330" s="6">
        <v>38031009.510000005</v>
      </c>
      <c r="H330" s="6">
        <f>_xll.BDP($A330,"IPO_OFFER_PX_TO_LAST_CLOSE_%_CHG",$A$1,$A$2)</f>
        <v>-93.216130000000007</v>
      </c>
      <c r="I330" s="6">
        <f>_xll.BDP($A330,"IPO_OFFER_PX_TO_1ST_OPEN_%_CHG",$A$1,$A$2)</f>
        <v>-3.225806</v>
      </c>
      <c r="J330" s="6">
        <v>15.5</v>
      </c>
      <c r="K330" s="6">
        <v>6850000</v>
      </c>
      <c r="L330" s="7" t="s">
        <v>470</v>
      </c>
      <c r="M330" s="7" t="s">
        <v>471</v>
      </c>
      <c r="N330" s="7" t="s">
        <v>472</v>
      </c>
    </row>
    <row r="331" spans="1:14" s="4" customFormat="1" ht="13.2" x14ac:dyDescent="0.25">
      <c r="A331" s="7" t="s">
        <v>1177</v>
      </c>
      <c r="B331" s="7" t="s">
        <v>1178</v>
      </c>
      <c r="C331" s="7" t="s">
        <v>1172</v>
      </c>
      <c r="D331" s="6"/>
      <c r="E331" s="7" t="s">
        <v>1179</v>
      </c>
      <c r="F331" s="7" t="s">
        <v>1178</v>
      </c>
      <c r="G331" s="6"/>
      <c r="H331" s="6" t="str">
        <f>_xll.BDP($A331,"IPO_OFFER_PX_TO_LAST_CLOSE_%_CHG",$A$1,$A$2)</f>
        <v>#N/A N/A</v>
      </c>
      <c r="I331" s="6">
        <f>_xll.BDP($A331,"IPO_OFFER_PX_TO_1ST_OPEN_%_CHG",$A$1,$A$2)</f>
        <v>0</v>
      </c>
      <c r="J331" s="6">
        <v>15</v>
      </c>
      <c r="K331" s="6">
        <v>5000000</v>
      </c>
      <c r="L331" s="7"/>
      <c r="M331" s="7"/>
      <c r="N331" s="7"/>
    </row>
    <row r="332" spans="1:14" s="4" customFormat="1" ht="13.2" x14ac:dyDescent="0.25">
      <c r="A332" s="7" t="s">
        <v>1180</v>
      </c>
      <c r="B332" s="7" t="s">
        <v>1181</v>
      </c>
      <c r="C332" s="7" t="s">
        <v>1172</v>
      </c>
      <c r="D332" s="6"/>
      <c r="E332" s="7" t="s">
        <v>1182</v>
      </c>
      <c r="F332" s="7" t="s">
        <v>1181</v>
      </c>
      <c r="G332" s="6"/>
      <c r="H332" s="6" t="str">
        <f>_xll.BDP($A332,"IPO_OFFER_PX_TO_LAST_CLOSE_%_CHG",$A$1,$A$2)</f>
        <v>#N/A N/A</v>
      </c>
      <c r="I332" s="6">
        <f>_xll.BDP($A332,"IPO_OFFER_PX_TO_1ST_OPEN_%_CHG",$A$1,$A$2)</f>
        <v>442.8571</v>
      </c>
      <c r="J332" s="6">
        <v>35</v>
      </c>
      <c r="K332" s="6">
        <v>4100000</v>
      </c>
      <c r="L332" s="7"/>
      <c r="M332" s="7"/>
      <c r="N332" s="7"/>
    </row>
    <row r="333" spans="1:14" s="4" customFormat="1" ht="13.2" x14ac:dyDescent="0.25">
      <c r="A333" s="7" t="s">
        <v>1183</v>
      </c>
      <c r="B333" s="7" t="s">
        <v>1184</v>
      </c>
      <c r="C333" s="7" t="s">
        <v>1172</v>
      </c>
      <c r="D333" s="6"/>
      <c r="E333" s="7" t="s">
        <v>1185</v>
      </c>
      <c r="F333" s="7" t="s">
        <v>1184</v>
      </c>
      <c r="G333" s="6"/>
      <c r="H333" s="6" t="str">
        <f>_xll.BDP($A333,"IPO_OFFER_PX_TO_LAST_CLOSE_%_CHG",$A$1,$A$2)</f>
        <v>#N/A N/A</v>
      </c>
      <c r="I333" s="6">
        <f>_xll.BDP($A333,"IPO_OFFER_PX_TO_1ST_OPEN_%_CHG",$A$1,$A$2)</f>
        <v>95.238100000000003</v>
      </c>
      <c r="J333" s="6">
        <v>21</v>
      </c>
      <c r="K333" s="6">
        <v>14300000</v>
      </c>
      <c r="L333" s="7"/>
      <c r="M333" s="7"/>
      <c r="N333" s="7"/>
    </row>
    <row r="334" spans="1:14" s="4" customFormat="1" ht="13.2" x14ac:dyDescent="0.25">
      <c r="A334" s="7" t="s">
        <v>1186</v>
      </c>
      <c r="B334" s="7" t="s">
        <v>1187</v>
      </c>
      <c r="C334" s="7" t="s">
        <v>1188</v>
      </c>
      <c r="D334" s="6"/>
      <c r="E334" s="7" t="s">
        <v>1189</v>
      </c>
      <c r="F334" s="7" t="s">
        <v>1187</v>
      </c>
      <c r="G334" s="6"/>
      <c r="H334" s="6" t="str">
        <f>_xll.BDP($A334,"IPO_OFFER_PX_TO_LAST_CLOSE_%_CHG",$A$1,$A$2)</f>
        <v>#N/A N/A</v>
      </c>
      <c r="I334" s="6">
        <f>_xll.BDP($A334,"IPO_OFFER_PX_TO_1ST_OPEN_%_CHG",$A$1,$A$2)</f>
        <v>16.66667</v>
      </c>
      <c r="J334" s="6">
        <v>12</v>
      </c>
      <c r="K334" s="6">
        <v>7500000</v>
      </c>
      <c r="L334" s="7"/>
      <c r="M334" s="7"/>
      <c r="N334" s="7"/>
    </row>
    <row r="335" spans="1:14" s="4" customFormat="1" ht="13.2" x14ac:dyDescent="0.25">
      <c r="A335" s="7" t="s">
        <v>1190</v>
      </c>
      <c r="B335" s="7" t="s">
        <v>1191</v>
      </c>
      <c r="C335" s="7" t="s">
        <v>1188</v>
      </c>
      <c r="D335" s="6"/>
      <c r="E335" s="7" t="s">
        <v>1192</v>
      </c>
      <c r="F335" s="7" t="s">
        <v>1191</v>
      </c>
      <c r="G335" s="6"/>
      <c r="H335" s="6" t="str">
        <f>_xll.BDP($A335,"IPO_OFFER_PX_TO_LAST_CLOSE_%_CHG",$A$1,$A$2)</f>
        <v>#N/A N/A</v>
      </c>
      <c r="I335" s="6">
        <f>_xll.BDP($A335,"IPO_OFFER_PX_TO_1ST_OPEN_%_CHG",$A$1,$A$2)</f>
        <v>83.333340000000007</v>
      </c>
      <c r="J335" s="6">
        <v>6</v>
      </c>
      <c r="K335" s="6">
        <v>1000000</v>
      </c>
      <c r="L335" s="7"/>
      <c r="M335" s="7"/>
      <c r="N335" s="7"/>
    </row>
    <row r="336" spans="1:14" s="4" customFormat="1" ht="13.2" x14ac:dyDescent="0.25">
      <c r="A336" s="7" t="s">
        <v>1193</v>
      </c>
      <c r="B336" s="7" t="s">
        <v>1194</v>
      </c>
      <c r="C336" s="7" t="s">
        <v>1188</v>
      </c>
      <c r="D336" s="6"/>
      <c r="E336" s="7" t="s">
        <v>1195</v>
      </c>
      <c r="F336" s="7" t="s">
        <v>1194</v>
      </c>
      <c r="G336" s="6"/>
      <c r="H336" s="6" t="str">
        <f>_xll.BDP($A336,"IPO_OFFER_PX_TO_LAST_CLOSE_%_CHG",$A$1,$A$2)</f>
        <v>#N/A N/A</v>
      </c>
      <c r="I336" s="6">
        <f>_xll.BDP($A336,"IPO_OFFER_PX_TO_1ST_OPEN_%_CHG",$A$1,$A$2)</f>
        <v>72.222219999999993</v>
      </c>
      <c r="J336" s="6">
        <v>18</v>
      </c>
      <c r="K336" s="6">
        <v>5000000</v>
      </c>
      <c r="L336" s="7"/>
      <c r="M336" s="7"/>
      <c r="N336" s="7"/>
    </row>
    <row r="337" spans="1:14" s="4" customFormat="1" ht="13.2" x14ac:dyDescent="0.25">
      <c r="A337" s="7" t="s">
        <v>1196</v>
      </c>
      <c r="B337" s="7" t="s">
        <v>1197</v>
      </c>
      <c r="C337" s="7" t="s">
        <v>1188</v>
      </c>
      <c r="D337" s="6"/>
      <c r="E337" s="7" t="s">
        <v>1198</v>
      </c>
      <c r="F337" s="7" t="s">
        <v>1197</v>
      </c>
      <c r="G337" s="6"/>
      <c r="H337" s="6" t="str">
        <f>_xll.BDP($A337,"IPO_OFFER_PX_TO_LAST_CLOSE_%_CHG",$A$1,$A$2)</f>
        <v>#N/A N/A</v>
      </c>
      <c r="I337" s="6">
        <f>_xll.BDP($A337,"IPO_OFFER_PX_TO_1ST_OPEN_%_CHG",$A$1,$A$2)</f>
        <v>80</v>
      </c>
      <c r="J337" s="6">
        <v>20</v>
      </c>
      <c r="K337" s="6">
        <v>3800000</v>
      </c>
      <c r="L337" s="7"/>
      <c r="M337" s="7"/>
      <c r="N337" s="7"/>
    </row>
    <row r="338" spans="1:14" s="4" customFormat="1" ht="13.2" x14ac:dyDescent="0.25">
      <c r="A338" s="7" t="s">
        <v>1199</v>
      </c>
      <c r="B338" s="7" t="s">
        <v>1200</v>
      </c>
      <c r="C338" s="7" t="s">
        <v>1188</v>
      </c>
      <c r="D338" s="6"/>
      <c r="E338" s="7" t="s">
        <v>1201</v>
      </c>
      <c r="F338" s="7" t="s">
        <v>1200</v>
      </c>
      <c r="G338" s="6"/>
      <c r="H338" s="6" t="str">
        <f>_xll.BDP($A338,"IPO_OFFER_PX_TO_LAST_CLOSE_%_CHG",$A$1,$A$2)</f>
        <v>#N/A N/A</v>
      </c>
      <c r="I338" s="6">
        <f>_xll.BDP($A338,"IPO_OFFER_PX_TO_1ST_OPEN_%_CHG",$A$1,$A$2)</f>
        <v>155</v>
      </c>
      <c r="J338" s="6">
        <v>20</v>
      </c>
      <c r="K338" s="6">
        <v>5500000</v>
      </c>
      <c r="L338" s="7"/>
      <c r="M338" s="7"/>
      <c r="N338" s="7"/>
    </row>
    <row r="339" spans="1:14" s="4" customFormat="1" ht="13.2" x14ac:dyDescent="0.25">
      <c r="A339" s="7" t="s">
        <v>1202</v>
      </c>
      <c r="B339" s="7" t="s">
        <v>1203</v>
      </c>
      <c r="C339" s="7" t="s">
        <v>1188</v>
      </c>
      <c r="D339" s="6"/>
      <c r="E339" s="7" t="s">
        <v>1204</v>
      </c>
      <c r="F339" s="7" t="s">
        <v>1203</v>
      </c>
      <c r="G339" s="6"/>
      <c r="H339" s="6" t="str">
        <f>_xll.BDP($A339,"IPO_OFFER_PX_TO_LAST_CLOSE_%_CHG",$A$1,$A$2)</f>
        <v>#N/A N/A</v>
      </c>
      <c r="I339" s="6">
        <f>_xll.BDP($A339,"IPO_OFFER_PX_TO_1ST_OPEN_%_CHG",$A$1,$A$2)</f>
        <v>35.294119999999999</v>
      </c>
      <c r="J339" s="6">
        <v>17</v>
      </c>
      <c r="K339" s="6">
        <v>10000000</v>
      </c>
      <c r="L339" s="7"/>
      <c r="M339" s="7"/>
      <c r="N339" s="7"/>
    </row>
    <row r="340" spans="1:14" s="4" customFormat="1" ht="13.2" x14ac:dyDescent="0.25">
      <c r="A340" s="7" t="s">
        <v>1205</v>
      </c>
      <c r="B340" s="7" t="s">
        <v>1206</v>
      </c>
      <c r="C340" s="7" t="s">
        <v>1207</v>
      </c>
      <c r="D340" s="6"/>
      <c r="E340" s="7" t="s">
        <v>1208</v>
      </c>
      <c r="F340" s="7" t="s">
        <v>1206</v>
      </c>
      <c r="G340" s="6"/>
      <c r="H340" s="6" t="str">
        <f>_xll.BDP($A340,"IPO_OFFER_PX_TO_LAST_CLOSE_%_CHG",$A$1,$A$2)</f>
        <v>#N/A N/A</v>
      </c>
      <c r="I340" s="6">
        <f>_xll.BDP($A340,"IPO_OFFER_PX_TO_1ST_OPEN_%_CHG",$A$1,$A$2)</f>
        <v>111.7647</v>
      </c>
      <c r="J340" s="6">
        <v>17</v>
      </c>
      <c r="K340" s="6">
        <v>7000000</v>
      </c>
      <c r="L340" s="7"/>
      <c r="M340" s="7"/>
      <c r="N340" s="7"/>
    </row>
    <row r="341" spans="1:14" s="4" customFormat="1" ht="13.2" x14ac:dyDescent="0.25">
      <c r="A341" s="7" t="s">
        <v>1209</v>
      </c>
      <c r="B341" s="7" t="s">
        <v>1210</v>
      </c>
      <c r="C341" s="7" t="s">
        <v>1207</v>
      </c>
      <c r="D341" s="6"/>
      <c r="E341" s="7" t="s">
        <v>1211</v>
      </c>
      <c r="F341" s="7" t="s">
        <v>1210</v>
      </c>
      <c r="G341" s="6"/>
      <c r="H341" s="6" t="str">
        <f>_xll.BDP($A341,"IPO_OFFER_PX_TO_LAST_CLOSE_%_CHG",$A$1,$A$2)</f>
        <v>#N/A N/A</v>
      </c>
      <c r="I341" s="6">
        <f>_xll.BDP($A341,"IPO_OFFER_PX_TO_1ST_OPEN_%_CHG",$A$1,$A$2)</f>
        <v>40</v>
      </c>
      <c r="J341" s="6">
        <v>10</v>
      </c>
      <c r="K341" s="6">
        <v>3500000</v>
      </c>
      <c r="L341" s="7"/>
      <c r="M341" s="7"/>
      <c r="N341" s="7"/>
    </row>
    <row r="342" spans="1:14" s="4" customFormat="1" ht="13.2" x14ac:dyDescent="0.25">
      <c r="A342" s="7" t="s">
        <v>1212</v>
      </c>
      <c r="B342" s="7" t="s">
        <v>1213</v>
      </c>
      <c r="C342" s="7" t="s">
        <v>1214</v>
      </c>
      <c r="D342" s="6"/>
      <c r="E342" s="7" t="s">
        <v>1215</v>
      </c>
      <c r="F342" s="7" t="s">
        <v>1213</v>
      </c>
      <c r="G342" s="6"/>
      <c r="H342" s="6" t="str">
        <f>_xll.BDP($A342,"IPO_OFFER_PX_TO_LAST_CLOSE_%_CHG",$A$1,$A$2)</f>
        <v>#N/A N/A</v>
      </c>
      <c r="I342" s="6">
        <f>_xll.BDP($A342,"IPO_OFFER_PX_TO_1ST_OPEN_%_CHG",$A$1,$A$2)</f>
        <v>107.6923</v>
      </c>
      <c r="J342" s="6">
        <v>13</v>
      </c>
      <c r="K342" s="6">
        <v>14000000</v>
      </c>
      <c r="L342" s="7"/>
      <c r="M342" s="7"/>
      <c r="N342" s="7"/>
    </row>
    <row r="343" spans="1:14" s="4" customFormat="1" ht="13.2" x14ac:dyDescent="0.25">
      <c r="A343" s="7" t="s">
        <v>1216</v>
      </c>
      <c r="B343" s="7" t="s">
        <v>1217</v>
      </c>
      <c r="C343" s="7" t="s">
        <v>1214</v>
      </c>
      <c r="D343" s="6"/>
      <c r="E343" s="7" t="s">
        <v>1218</v>
      </c>
      <c r="F343" s="7" t="s">
        <v>1217</v>
      </c>
      <c r="G343" s="6"/>
      <c r="H343" s="6" t="str">
        <f>_xll.BDP($A343,"IPO_OFFER_PX_TO_LAST_CLOSE_%_CHG",$A$1,$A$2)</f>
        <v>#N/A N/A</v>
      </c>
      <c r="I343" s="6">
        <f>_xll.BDP($A343,"IPO_OFFER_PX_TO_1ST_OPEN_%_CHG",$A$1,$A$2)</f>
        <v>25</v>
      </c>
      <c r="J343" s="6">
        <v>12</v>
      </c>
      <c r="K343" s="6">
        <v>4000000</v>
      </c>
      <c r="L343" s="7"/>
      <c r="M343" s="7"/>
      <c r="N343" s="7"/>
    </row>
    <row r="344" spans="1:14" s="4" customFormat="1" ht="13.2" x14ac:dyDescent="0.25">
      <c r="A344" s="7" t="s">
        <v>1219</v>
      </c>
      <c r="B344" s="7" t="s">
        <v>1220</v>
      </c>
      <c r="C344" s="7" t="s">
        <v>1221</v>
      </c>
      <c r="D344" s="6"/>
      <c r="E344" s="7" t="s">
        <v>1222</v>
      </c>
      <c r="F344" s="7" t="s">
        <v>1220</v>
      </c>
      <c r="G344" s="6"/>
      <c r="H344" s="6" t="str">
        <f>_xll.BDP($A344,"IPO_OFFER_PX_TO_LAST_CLOSE_%_CHG",$A$1,$A$2)</f>
        <v>#N/A N/A</v>
      </c>
      <c r="I344" s="6">
        <f>_xll.BDP($A344,"IPO_OFFER_PX_TO_1ST_OPEN_%_CHG",$A$1,$A$2)</f>
        <v>57.5</v>
      </c>
      <c r="J344" s="6">
        <v>20</v>
      </c>
      <c r="K344" s="6">
        <v>9000000</v>
      </c>
      <c r="L344" s="7"/>
      <c r="M344" s="7"/>
      <c r="N344" s="7"/>
    </row>
    <row r="345" spans="1:14" s="4" customFormat="1" ht="13.2" x14ac:dyDescent="0.25">
      <c r="A345" s="7" t="s">
        <v>1223</v>
      </c>
      <c r="B345" s="7" t="s">
        <v>1224</v>
      </c>
      <c r="C345" s="7" t="s">
        <v>1221</v>
      </c>
      <c r="D345" s="6"/>
      <c r="E345" s="7" t="s">
        <v>1225</v>
      </c>
      <c r="F345" s="7" t="s">
        <v>1224</v>
      </c>
      <c r="G345" s="6"/>
      <c r="H345" s="6" t="str">
        <f>_xll.BDP($A345,"IPO_OFFER_PX_TO_LAST_CLOSE_%_CHG",$A$1,$A$2)</f>
        <v>#N/A N/A</v>
      </c>
      <c r="I345" s="6">
        <f>_xll.BDP($A345,"IPO_OFFER_PX_TO_1ST_OPEN_%_CHG",$A$1,$A$2)</f>
        <v>14.204549999999999</v>
      </c>
      <c r="J345" s="6">
        <v>22</v>
      </c>
      <c r="K345" s="6">
        <v>25000000</v>
      </c>
      <c r="L345" s="7"/>
      <c r="M345" s="7"/>
      <c r="N345" s="7"/>
    </row>
    <row r="346" spans="1:14" s="4" customFormat="1" ht="13.2" x14ac:dyDescent="0.25">
      <c r="A346" s="7" t="s">
        <v>1226</v>
      </c>
      <c r="B346" s="7" t="s">
        <v>1227</v>
      </c>
      <c r="C346" s="7" t="s">
        <v>1221</v>
      </c>
      <c r="D346" s="6"/>
      <c r="E346" s="7" t="s">
        <v>1228</v>
      </c>
      <c r="F346" s="7" t="s">
        <v>1227</v>
      </c>
      <c r="G346" s="6"/>
      <c r="H346" s="6" t="str">
        <f>_xll.BDP($A346,"IPO_OFFER_PX_TO_LAST_CLOSE_%_CHG",$A$1,$A$2)</f>
        <v>#N/A N/A</v>
      </c>
      <c r="I346" s="6">
        <f>_xll.BDP($A346,"IPO_OFFER_PX_TO_1ST_OPEN_%_CHG",$A$1,$A$2)</f>
        <v>213.33330000000001</v>
      </c>
      <c r="J346" s="6">
        <v>15</v>
      </c>
      <c r="K346" s="6">
        <v>8000000</v>
      </c>
      <c r="L346" s="7"/>
      <c r="M346" s="7"/>
      <c r="N346" s="7"/>
    </row>
    <row r="347" spans="1:14" s="4" customFormat="1" ht="13.2" x14ac:dyDescent="0.25">
      <c r="A347" s="7" t="s">
        <v>1229</v>
      </c>
      <c r="B347" s="7" t="s">
        <v>1230</v>
      </c>
      <c r="C347" s="7" t="s">
        <v>1221</v>
      </c>
      <c r="D347" s="6">
        <v>4.97</v>
      </c>
      <c r="E347" s="7" t="s">
        <v>1231</v>
      </c>
      <c r="F347" s="7" t="s">
        <v>1230</v>
      </c>
      <c r="G347" s="6">
        <v>222418871.35999998</v>
      </c>
      <c r="H347" s="6">
        <f>_xll.BDP($A347,"IPO_OFFER_PX_TO_LAST_CLOSE_%_CHG",$A$1,$A$2)</f>
        <v>-99.765529999999998</v>
      </c>
      <c r="I347" s="6">
        <f>_xll.BDP($A347,"IPO_OFFER_PX_TO_1ST_OPEN_%_CHG",$A$1,$A$2)</f>
        <v>127.7778</v>
      </c>
      <c r="J347" s="6">
        <v>18</v>
      </c>
      <c r="K347" s="6">
        <v>3500000</v>
      </c>
      <c r="L347" s="7" t="s">
        <v>52</v>
      </c>
      <c r="M347" s="7" t="s">
        <v>58</v>
      </c>
      <c r="N347" s="7" t="s">
        <v>58</v>
      </c>
    </row>
    <row r="348" spans="1:14" s="4" customFormat="1" ht="13.2" x14ac:dyDescent="0.25">
      <c r="A348" s="7" t="s">
        <v>1232</v>
      </c>
      <c r="B348" s="7" t="s">
        <v>1233</v>
      </c>
      <c r="C348" s="7" t="s">
        <v>1221</v>
      </c>
      <c r="D348" s="6"/>
      <c r="E348" s="7" t="s">
        <v>1234</v>
      </c>
      <c r="F348" s="7" t="s">
        <v>1233</v>
      </c>
      <c r="G348" s="6"/>
      <c r="H348" s="6" t="str">
        <f>_xll.BDP($A348,"IPO_OFFER_PX_TO_LAST_CLOSE_%_CHG",$A$1,$A$2)</f>
        <v>#N/A N/A</v>
      </c>
      <c r="I348" s="6">
        <f>_xll.BDP($A348,"IPO_OFFER_PX_TO_1ST_OPEN_%_CHG",$A$1,$A$2)</f>
        <v>150</v>
      </c>
      <c r="J348" s="6">
        <v>12</v>
      </c>
      <c r="K348" s="6">
        <v>3600000</v>
      </c>
      <c r="L348" s="7"/>
      <c r="M348" s="7"/>
      <c r="N348" s="7"/>
    </row>
    <row r="349" spans="1:14" s="4" customFormat="1" ht="13.2" x14ac:dyDescent="0.25">
      <c r="A349" s="7" t="s">
        <v>1235</v>
      </c>
      <c r="B349" s="7" t="s">
        <v>1236</v>
      </c>
      <c r="C349" s="7" t="s">
        <v>1221</v>
      </c>
      <c r="D349" s="6">
        <v>9.9999999747524271E-7</v>
      </c>
      <c r="E349" s="7" t="s">
        <v>1237</v>
      </c>
      <c r="F349" s="7" t="s">
        <v>1236</v>
      </c>
      <c r="G349" s="6">
        <v>2206.5370000000003</v>
      </c>
      <c r="H349" s="6">
        <f>_xll.BDP($A349,"IPO_OFFER_PX_TO_LAST_CLOSE_%_CHG",$A$1,$A$2)</f>
        <v>-99.999989999999997</v>
      </c>
      <c r="I349" s="6">
        <f>_xll.BDP($A349,"IPO_OFFER_PX_TO_1ST_OPEN_%_CHG",$A$1,$A$2)</f>
        <v>115.38460000000001</v>
      </c>
      <c r="J349" s="6">
        <v>13</v>
      </c>
      <c r="K349" s="6">
        <v>2750000</v>
      </c>
      <c r="L349" s="7" t="s">
        <v>470</v>
      </c>
      <c r="M349" s="7" t="s">
        <v>1238</v>
      </c>
      <c r="N349" s="7" t="s">
        <v>1239</v>
      </c>
    </row>
    <row r="350" spans="1:14" s="4" customFormat="1" ht="13.2" x14ac:dyDescent="0.25">
      <c r="A350" s="7" t="s">
        <v>1240</v>
      </c>
      <c r="B350" s="7" t="s">
        <v>1241</v>
      </c>
      <c r="C350" s="7" t="s">
        <v>1221</v>
      </c>
      <c r="D350" s="6"/>
      <c r="E350" s="7" t="s">
        <v>1242</v>
      </c>
      <c r="F350" s="7" t="s">
        <v>1241</v>
      </c>
      <c r="G350" s="6"/>
      <c r="H350" s="6" t="str">
        <f>_xll.BDP($A350,"IPO_OFFER_PX_TO_LAST_CLOSE_%_CHG",$A$1,$A$2)</f>
        <v>#N/A N/A</v>
      </c>
      <c r="I350" s="6">
        <f>_xll.BDP($A350,"IPO_OFFER_PX_TO_1ST_OPEN_%_CHG",$A$1,$A$2)</f>
        <v>5.2631579999999998</v>
      </c>
      <c r="J350" s="6">
        <v>19</v>
      </c>
      <c r="K350" s="6">
        <v>20000000</v>
      </c>
      <c r="L350" s="7"/>
      <c r="M350" s="7"/>
      <c r="N350" s="7"/>
    </row>
    <row r="351" spans="1:14" s="4" customFormat="1" ht="13.2" x14ac:dyDescent="0.25">
      <c r="A351" s="7" t="s">
        <v>1243</v>
      </c>
      <c r="B351" s="7" t="s">
        <v>1244</v>
      </c>
      <c r="C351" s="7" t="s">
        <v>1221</v>
      </c>
      <c r="D351" s="6"/>
      <c r="E351" s="7" t="s">
        <v>1245</v>
      </c>
      <c r="F351" s="7" t="s">
        <v>1244</v>
      </c>
      <c r="G351" s="6"/>
      <c r="H351" s="6" t="str">
        <f>_xll.BDP($A351,"IPO_OFFER_PX_TO_LAST_CLOSE_%_CHG",$A$1,$A$2)</f>
        <v>#N/A N/A</v>
      </c>
      <c r="I351" s="6">
        <f>_xll.BDP($A351,"IPO_OFFER_PX_TO_1ST_OPEN_%_CHG",$A$1,$A$2)</f>
        <v>136.36359999999999</v>
      </c>
      <c r="J351" s="6">
        <v>22</v>
      </c>
      <c r="K351" s="6">
        <v>5000000</v>
      </c>
      <c r="L351" s="7"/>
      <c r="M351" s="7"/>
      <c r="N351" s="7"/>
    </row>
    <row r="352" spans="1:14" s="4" customFormat="1" ht="13.2" x14ac:dyDescent="0.25">
      <c r="A352" s="7" t="s">
        <v>1246</v>
      </c>
      <c r="B352" s="7" t="s">
        <v>1247</v>
      </c>
      <c r="C352" s="7" t="s">
        <v>1221</v>
      </c>
      <c r="D352" s="6"/>
      <c r="E352" s="7" t="s">
        <v>1248</v>
      </c>
      <c r="F352" s="7" t="s">
        <v>1247</v>
      </c>
      <c r="G352" s="6"/>
      <c r="H352" s="6" t="str">
        <f>_xll.BDP($A352,"IPO_OFFER_PX_TO_LAST_CLOSE_%_CHG",$A$1,$A$2)</f>
        <v>#N/A N/A</v>
      </c>
      <c r="I352" s="6">
        <f>_xll.BDP($A352,"IPO_OFFER_PX_TO_1ST_OPEN_%_CHG",$A$1,$A$2)</f>
        <v>372.22219999999999</v>
      </c>
      <c r="J352" s="6">
        <v>36</v>
      </c>
      <c r="K352" s="6">
        <v>6000000</v>
      </c>
      <c r="L352" s="7"/>
      <c r="M352" s="7"/>
      <c r="N352" s="7"/>
    </row>
    <row r="353" spans="1:14" s="4" customFormat="1" ht="13.2" x14ac:dyDescent="0.25">
      <c r="A353" s="7" t="s">
        <v>1249</v>
      </c>
      <c r="B353" s="7" t="s">
        <v>1250</v>
      </c>
      <c r="C353" s="7" t="s">
        <v>1251</v>
      </c>
      <c r="D353" s="6"/>
      <c r="E353" s="7" t="s">
        <v>1252</v>
      </c>
      <c r="F353" s="7" t="s">
        <v>1250</v>
      </c>
      <c r="G353" s="6"/>
      <c r="H353" s="6" t="str">
        <f>_xll.BDP($A353,"IPO_OFFER_PX_TO_LAST_CLOSE_%_CHG",$A$1,$A$2)</f>
        <v>#N/A N/A</v>
      </c>
      <c r="I353" s="6">
        <f>_xll.BDP($A353,"IPO_OFFER_PX_TO_1ST_OPEN_%_CHG",$A$1,$A$2)</f>
        <v>82.352940000000004</v>
      </c>
      <c r="J353" s="6">
        <v>17</v>
      </c>
      <c r="K353" s="6">
        <v>10714000</v>
      </c>
      <c r="L353" s="7"/>
      <c r="M353" s="7"/>
      <c r="N353" s="7"/>
    </row>
    <row r="354" spans="1:14" s="4" customFormat="1" ht="13.2" x14ac:dyDescent="0.25">
      <c r="A354" s="7" t="s">
        <v>1253</v>
      </c>
      <c r="B354" s="7" t="s">
        <v>1254</v>
      </c>
      <c r="C354" s="7" t="s">
        <v>1251</v>
      </c>
      <c r="D354" s="6"/>
      <c r="E354" s="7" t="s">
        <v>1255</v>
      </c>
      <c r="F354" s="7" t="s">
        <v>1254</v>
      </c>
      <c r="G354" s="6"/>
      <c r="H354" s="6" t="str">
        <f>_xll.BDP($A354,"IPO_OFFER_PX_TO_LAST_CLOSE_%_CHG",$A$1,$A$2)</f>
        <v>#N/A N/A</v>
      </c>
      <c r="I354" s="6">
        <f>_xll.BDP($A354,"IPO_OFFER_PX_TO_1ST_OPEN_%_CHG",$A$1,$A$2)</f>
        <v>139.28569999999999</v>
      </c>
      <c r="J354" s="6">
        <v>14</v>
      </c>
      <c r="K354" s="6">
        <v>5000000</v>
      </c>
      <c r="L354" s="7"/>
      <c r="M354" s="7"/>
      <c r="N354" s="7"/>
    </row>
    <row r="355" spans="1:14" s="4" customFormat="1" ht="13.2" x14ac:dyDescent="0.25">
      <c r="A355" s="7" t="s">
        <v>1256</v>
      </c>
      <c r="B355" s="7" t="s">
        <v>1257</v>
      </c>
      <c r="C355" s="7" t="s">
        <v>1258</v>
      </c>
      <c r="D355" s="6"/>
      <c r="E355" s="7" t="s">
        <v>1259</v>
      </c>
      <c r="F355" s="7" t="s">
        <v>1257</v>
      </c>
      <c r="G355" s="6"/>
      <c r="H355" s="6" t="str">
        <f>_xll.BDP($A355,"IPO_OFFER_PX_TO_LAST_CLOSE_%_CHG",$A$1,$A$2)</f>
        <v>#N/A N/A</v>
      </c>
      <c r="I355" s="6">
        <f>_xll.BDP($A355,"IPO_OFFER_PX_TO_1ST_OPEN_%_CHG",$A$1,$A$2)</f>
        <v>182.35290000000001</v>
      </c>
      <c r="J355" s="6">
        <v>17</v>
      </c>
      <c r="K355" s="6">
        <v>4000000</v>
      </c>
      <c r="L355" s="7" t="s">
        <v>280</v>
      </c>
      <c r="M355" s="7" t="s">
        <v>321</v>
      </c>
      <c r="N355" s="7" t="s">
        <v>321</v>
      </c>
    </row>
    <row r="356" spans="1:14" s="4" customFormat="1" ht="13.2" x14ac:dyDescent="0.25">
      <c r="A356" s="7" t="s">
        <v>1260</v>
      </c>
      <c r="B356" s="7" t="s">
        <v>1261</v>
      </c>
      <c r="C356" s="7" t="s">
        <v>1262</v>
      </c>
      <c r="D356" s="6"/>
      <c r="E356" s="7" t="s">
        <v>1263</v>
      </c>
      <c r="F356" s="7" t="s">
        <v>1261</v>
      </c>
      <c r="G356" s="6"/>
      <c r="H356" s="6" t="str">
        <f>_xll.BDP($A356,"IPO_OFFER_PX_TO_LAST_CLOSE_%_CHG",$A$1,$A$2)</f>
        <v>#N/A N/A</v>
      </c>
      <c r="I356" s="6">
        <f>_xll.BDP($A356,"IPO_OFFER_PX_TO_1ST_OPEN_%_CHG",$A$1,$A$2)</f>
        <v>28.571429999999999</v>
      </c>
      <c r="J356" s="6">
        <v>14</v>
      </c>
      <c r="K356" s="6">
        <v>3100000</v>
      </c>
      <c r="L356" s="7"/>
      <c r="M356" s="7"/>
      <c r="N356" s="7"/>
    </row>
    <row r="357" spans="1:14" s="4" customFormat="1" ht="13.2" x14ac:dyDescent="0.25">
      <c r="A357" s="7" t="s">
        <v>1264</v>
      </c>
      <c r="B357" s="7" t="s">
        <v>1265</v>
      </c>
      <c r="C357" s="7" t="s">
        <v>1262</v>
      </c>
      <c r="D357" s="6"/>
      <c r="E357" s="7" t="s">
        <v>1266</v>
      </c>
      <c r="F357" s="7" t="s">
        <v>1265</v>
      </c>
      <c r="G357" s="6"/>
      <c r="H357" s="6" t="str">
        <f>_xll.BDP($A357,"IPO_OFFER_PX_TO_LAST_CLOSE_%_CHG",$A$1,$A$2)</f>
        <v>#N/A N/A</v>
      </c>
      <c r="I357" s="6">
        <f>_xll.BDP($A357,"IPO_OFFER_PX_TO_1ST_OPEN_%_CHG",$A$1,$A$2)</f>
        <v>145.3125</v>
      </c>
      <c r="J357" s="6">
        <v>16</v>
      </c>
      <c r="K357" s="6">
        <v>3720000</v>
      </c>
      <c r="L357" s="7"/>
      <c r="M357" s="7"/>
      <c r="N357" s="7"/>
    </row>
    <row r="358" spans="1:14" s="4" customFormat="1" ht="13.2" x14ac:dyDescent="0.25">
      <c r="A358" s="7" t="s">
        <v>1267</v>
      </c>
      <c r="B358" s="7" t="s">
        <v>1268</v>
      </c>
      <c r="C358" s="7" t="s">
        <v>1262</v>
      </c>
      <c r="D358" s="6"/>
      <c r="E358" s="7" t="s">
        <v>1269</v>
      </c>
      <c r="F358" s="7" t="s">
        <v>1268</v>
      </c>
      <c r="G358" s="6"/>
      <c r="H358" s="6" t="str">
        <f>_xll.BDP($A358,"IPO_OFFER_PX_TO_LAST_CLOSE_%_CHG",$A$1,$A$2)</f>
        <v>#N/A N/A</v>
      </c>
      <c r="I358" s="6">
        <f>_xll.BDP($A358,"IPO_OFFER_PX_TO_1ST_OPEN_%_CHG",$A$1,$A$2)</f>
        <v>173.07689999999999</v>
      </c>
      <c r="J358" s="6">
        <v>26</v>
      </c>
      <c r="K358" s="6">
        <v>5250000</v>
      </c>
      <c r="L358" s="7"/>
      <c r="M358" s="7"/>
      <c r="N358" s="7"/>
    </row>
    <row r="359" spans="1:14" s="4" customFormat="1" ht="13.2" x14ac:dyDescent="0.25">
      <c r="A359" s="7" t="s">
        <v>1270</v>
      </c>
      <c r="B359" s="7" t="s">
        <v>1271</v>
      </c>
      <c r="C359" s="7" t="s">
        <v>1262</v>
      </c>
      <c r="D359" s="6"/>
      <c r="E359" s="7" t="s">
        <v>1272</v>
      </c>
      <c r="F359" s="7" t="s">
        <v>1271</v>
      </c>
      <c r="G359" s="6"/>
      <c r="H359" s="6" t="str">
        <f>_xll.BDP($A359,"IPO_OFFER_PX_TO_LAST_CLOSE_%_CHG",$A$1,$A$2)</f>
        <v>#N/A N/A</v>
      </c>
      <c r="I359" s="6">
        <f>_xll.BDP($A359,"IPO_OFFER_PX_TO_1ST_OPEN_%_CHG",$A$1,$A$2)</f>
        <v>210.34479999999999</v>
      </c>
      <c r="J359" s="6">
        <v>29</v>
      </c>
      <c r="K359" s="6">
        <v>3000000</v>
      </c>
      <c r="L359" s="7"/>
      <c r="M359" s="7"/>
      <c r="N359" s="7"/>
    </row>
    <row r="360" spans="1:14" s="4" customFormat="1" ht="13.2" x14ac:dyDescent="0.25">
      <c r="A360" s="7" t="s">
        <v>1273</v>
      </c>
      <c r="B360" s="7" t="s">
        <v>1274</v>
      </c>
      <c r="C360" s="7" t="s">
        <v>1275</v>
      </c>
      <c r="D360" s="6"/>
      <c r="E360" s="7" t="s">
        <v>1276</v>
      </c>
      <c r="F360" s="7" t="s">
        <v>1274</v>
      </c>
      <c r="G360" s="6"/>
      <c r="H360" s="6" t="str">
        <f>_xll.BDP($A360,"IPO_OFFER_PX_TO_LAST_CLOSE_%_CHG",$A$1,$A$2)</f>
        <v>#N/A N/A</v>
      </c>
      <c r="I360" s="6">
        <f>_xll.BDP($A360,"IPO_OFFER_PX_TO_1ST_OPEN_%_CHG",$A$1,$A$2)</f>
        <v>11.25</v>
      </c>
      <c r="J360" s="6">
        <v>10</v>
      </c>
      <c r="K360" s="6">
        <v>7500000</v>
      </c>
      <c r="L360" s="7"/>
      <c r="M360" s="7"/>
      <c r="N360" s="7"/>
    </row>
    <row r="361" spans="1:14" s="4" customFormat="1" ht="13.2" x14ac:dyDescent="0.25">
      <c r="A361" s="7" t="s">
        <v>1277</v>
      </c>
      <c r="B361" s="7" t="s">
        <v>1278</v>
      </c>
      <c r="C361" s="7" t="s">
        <v>1275</v>
      </c>
      <c r="D361" s="6"/>
      <c r="E361" s="7" t="s">
        <v>1279</v>
      </c>
      <c r="F361" s="7" t="s">
        <v>1278</v>
      </c>
      <c r="G361" s="6"/>
      <c r="H361" s="6" t="str">
        <f>_xll.BDP($A361,"IPO_OFFER_PX_TO_LAST_CLOSE_%_CHG",$A$1,$A$2)</f>
        <v>#N/A N/A</v>
      </c>
      <c r="I361" s="6">
        <f>_xll.BDP($A361,"IPO_OFFER_PX_TO_1ST_OPEN_%_CHG",$A$1,$A$2)</f>
        <v>189.4666</v>
      </c>
      <c r="J361" s="6">
        <v>37.31</v>
      </c>
      <c r="K361" s="6">
        <v>1725000</v>
      </c>
      <c r="L361" s="7"/>
      <c r="M361" s="7"/>
      <c r="N361" s="7"/>
    </row>
    <row r="362" spans="1:14" s="4" customFormat="1" ht="13.2" x14ac:dyDescent="0.25">
      <c r="A362" s="7" t="s">
        <v>1280</v>
      </c>
      <c r="B362" s="7" t="s">
        <v>1281</v>
      </c>
      <c r="C362" s="7" t="s">
        <v>1282</v>
      </c>
      <c r="D362" s="6"/>
      <c r="E362" s="7" t="s">
        <v>1283</v>
      </c>
      <c r="F362" s="7" t="s">
        <v>1281</v>
      </c>
      <c r="G362" s="6"/>
      <c r="H362" s="6" t="str">
        <f>_xll.BDP($A362,"IPO_OFFER_PX_TO_LAST_CLOSE_%_CHG",$A$1,$A$2)</f>
        <v>#N/A N/A</v>
      </c>
      <c r="I362" s="6">
        <f>_xll.BDP($A362,"IPO_OFFER_PX_TO_1ST_OPEN_%_CHG",$A$1,$A$2)</f>
        <v>0</v>
      </c>
      <c r="J362" s="6">
        <v>15</v>
      </c>
      <c r="K362" s="6">
        <v>3500000</v>
      </c>
      <c r="L362" s="7"/>
      <c r="M362" s="7"/>
      <c r="N362" s="7"/>
    </row>
    <row r="363" spans="1:14" s="4" customFormat="1" ht="13.2" x14ac:dyDescent="0.25">
      <c r="A363" s="7" t="s">
        <v>1284</v>
      </c>
      <c r="B363" s="7" t="s">
        <v>1285</v>
      </c>
      <c r="C363" s="7" t="s">
        <v>1282</v>
      </c>
      <c r="D363" s="6"/>
      <c r="E363" s="7" t="s">
        <v>1286</v>
      </c>
      <c r="F363" s="7" t="s">
        <v>1285</v>
      </c>
      <c r="G363" s="6"/>
      <c r="H363" s="6" t="str">
        <f>_xll.BDP($A363,"IPO_OFFER_PX_TO_LAST_CLOSE_%_CHG",$A$1,$A$2)</f>
        <v>#N/A N/A</v>
      </c>
      <c r="I363" s="6">
        <f>_xll.BDP($A363,"IPO_OFFER_PX_TO_1ST_OPEN_%_CHG",$A$1,$A$2)</f>
        <v>60</v>
      </c>
      <c r="J363" s="6">
        <v>15</v>
      </c>
      <c r="K363" s="6">
        <v>6500000</v>
      </c>
      <c r="L363" s="7"/>
      <c r="M363" s="7"/>
      <c r="N363" s="7"/>
    </row>
    <row r="364" spans="1:14" s="4" customFormat="1" ht="13.2" x14ac:dyDescent="0.25">
      <c r="A364" s="7" t="s">
        <v>1287</v>
      </c>
      <c r="B364" s="7" t="s">
        <v>1288</v>
      </c>
      <c r="C364" s="7" t="s">
        <v>1282</v>
      </c>
      <c r="D364" s="6"/>
      <c r="E364" s="7" t="s">
        <v>1289</v>
      </c>
      <c r="F364" s="7" t="s">
        <v>1288</v>
      </c>
      <c r="G364" s="6"/>
      <c r="H364" s="6" t="str">
        <f>_xll.BDP($A364,"IPO_OFFER_PX_TO_LAST_CLOSE_%_CHG",$A$1,$A$2)</f>
        <v>#N/A N/A</v>
      </c>
      <c r="I364" s="6">
        <f>_xll.BDP($A364,"IPO_OFFER_PX_TO_1ST_OPEN_%_CHG",$A$1,$A$2)</f>
        <v>0</v>
      </c>
      <c r="J364" s="6">
        <v>13</v>
      </c>
      <c r="K364" s="6">
        <v>1500000</v>
      </c>
      <c r="L364" s="7"/>
      <c r="M364" s="7"/>
      <c r="N364" s="7"/>
    </row>
    <row r="365" spans="1:14" s="4" customFormat="1" ht="13.2" x14ac:dyDescent="0.25">
      <c r="A365" s="7" t="s">
        <v>1290</v>
      </c>
      <c r="B365" s="7" t="s">
        <v>1291</v>
      </c>
      <c r="C365" s="7" t="s">
        <v>1282</v>
      </c>
      <c r="D365" s="6">
        <v>228.43</v>
      </c>
      <c r="E365" s="7" t="s">
        <v>1292</v>
      </c>
      <c r="F365" s="7" t="s">
        <v>1291</v>
      </c>
      <c r="G365" s="6">
        <v>20352803934.210003</v>
      </c>
      <c r="H365" s="6">
        <f>_xll.BDP($A365,"IPO_OFFER_PX_TO_LAST_CLOSE_%_CHG",$A$1,$A$2)</f>
        <v>1803.5830000000001</v>
      </c>
      <c r="I365" s="6">
        <f>_xll.BDP($A365,"IPO_OFFER_PX_TO_1ST_OPEN_%_CHG",$A$1,$A$2)</f>
        <v>0</v>
      </c>
      <c r="J365" s="6">
        <v>12</v>
      </c>
      <c r="K365" s="6">
        <v>46250000</v>
      </c>
      <c r="L365" s="7" t="s">
        <v>1293</v>
      </c>
      <c r="M365" s="7" t="s">
        <v>1294</v>
      </c>
      <c r="N365" s="7" t="s">
        <v>1295</v>
      </c>
    </row>
    <row r="366" spans="1:14" s="4" customFormat="1" ht="13.2" x14ac:dyDescent="0.25">
      <c r="A366" s="7" t="s">
        <v>1296</v>
      </c>
      <c r="B366" s="7" t="s">
        <v>1297</v>
      </c>
      <c r="C366" s="7" t="s">
        <v>1282</v>
      </c>
      <c r="D366" s="6"/>
      <c r="E366" s="7" t="s">
        <v>1298</v>
      </c>
      <c r="F366" s="7" t="s">
        <v>1297</v>
      </c>
      <c r="G366" s="6"/>
      <c r="H366" s="6" t="str">
        <f>_xll.BDP($A366,"IPO_OFFER_PX_TO_LAST_CLOSE_%_CHG",$A$1,$A$2)</f>
        <v>#N/A N/A</v>
      </c>
      <c r="I366" s="6">
        <f>_xll.BDP($A366,"IPO_OFFER_PX_TO_1ST_OPEN_%_CHG",$A$1,$A$2)</f>
        <v>12.5</v>
      </c>
      <c r="J366" s="6">
        <v>16</v>
      </c>
      <c r="K366" s="6">
        <v>4372000</v>
      </c>
      <c r="L366" s="7"/>
      <c r="M366" s="7"/>
      <c r="N366" s="7"/>
    </row>
    <row r="367" spans="1:14" s="4" customFormat="1" ht="13.2" x14ac:dyDescent="0.25">
      <c r="A367" s="7" t="s">
        <v>1299</v>
      </c>
      <c r="B367" s="7" t="s">
        <v>1300</v>
      </c>
      <c r="C367" s="7" t="s">
        <v>1301</v>
      </c>
      <c r="D367" s="6"/>
      <c r="E367" s="7" t="s">
        <v>1302</v>
      </c>
      <c r="F367" s="7" t="s">
        <v>1300</v>
      </c>
      <c r="G367" s="6"/>
      <c r="H367" s="6" t="str">
        <f>_xll.BDP($A367,"IPO_OFFER_PX_TO_LAST_CLOSE_%_CHG",$A$1,$A$2)</f>
        <v>#N/A N/A</v>
      </c>
      <c r="I367" s="6">
        <f>_xll.BDP($A367,"IPO_OFFER_PX_TO_1ST_OPEN_%_CHG",$A$1,$A$2)</f>
        <v>255</v>
      </c>
      <c r="J367" s="6">
        <v>20</v>
      </c>
      <c r="K367" s="6">
        <v>4000000</v>
      </c>
      <c r="L367" s="7"/>
      <c r="M367" s="7"/>
      <c r="N367" s="7"/>
    </row>
    <row r="368" spans="1:14" s="4" customFormat="1" ht="13.2" x14ac:dyDescent="0.25">
      <c r="A368" s="7" t="s">
        <v>1303</v>
      </c>
      <c r="B368" s="7" t="s">
        <v>1304</v>
      </c>
      <c r="C368" s="7" t="s">
        <v>1301</v>
      </c>
      <c r="D368" s="6"/>
      <c r="E368" s="7" t="s">
        <v>1305</v>
      </c>
      <c r="F368" s="7" t="s">
        <v>1304</v>
      </c>
      <c r="G368" s="6"/>
      <c r="H368" s="6" t="str">
        <f>_xll.BDP($A368,"IPO_OFFER_PX_TO_LAST_CLOSE_%_CHG",$A$1,$A$2)</f>
        <v>#N/A N/A</v>
      </c>
      <c r="I368" s="6">
        <f>_xll.BDP($A368,"IPO_OFFER_PX_TO_1ST_OPEN_%_CHG",$A$1,$A$2)</f>
        <v>4.4117649999999999</v>
      </c>
      <c r="J368" s="6">
        <v>17</v>
      </c>
      <c r="K368" s="6">
        <v>102000000</v>
      </c>
      <c r="L368" s="7"/>
      <c r="M368" s="7"/>
      <c r="N368" s="7"/>
    </row>
    <row r="369" spans="1:14" s="4" customFormat="1" ht="13.2" x14ac:dyDescent="0.25">
      <c r="A369" s="7" t="s">
        <v>1306</v>
      </c>
      <c r="B369" s="7" t="s">
        <v>1307</v>
      </c>
      <c r="C369" s="7" t="s">
        <v>1308</v>
      </c>
      <c r="D369" s="6"/>
      <c r="E369" s="7" t="s">
        <v>1309</v>
      </c>
      <c r="F369" s="7" t="s">
        <v>1307</v>
      </c>
      <c r="G369" s="6"/>
      <c r="H369" s="6" t="str">
        <f>_xll.BDP($A369,"IPO_OFFER_PX_TO_LAST_CLOSE_%_CHG",$A$1,$A$2)</f>
        <v>#N/A N/A</v>
      </c>
      <c r="I369" s="6">
        <f>_xll.BDP($A369,"IPO_OFFER_PX_TO_1ST_OPEN_%_CHG",$A$1,$A$2)</f>
        <v>22.727270000000001</v>
      </c>
      <c r="J369" s="6">
        <v>11</v>
      </c>
      <c r="K369" s="6">
        <v>3750000</v>
      </c>
      <c r="L369" s="7"/>
      <c r="M369" s="7"/>
      <c r="N369" s="7"/>
    </row>
    <row r="370" spans="1:14" s="4" customFormat="1" ht="13.2" x14ac:dyDescent="0.25">
      <c r="A370" s="7" t="s">
        <v>1310</v>
      </c>
      <c r="B370" s="7" t="s">
        <v>1311</v>
      </c>
      <c r="C370" s="7" t="s">
        <v>1308</v>
      </c>
      <c r="D370" s="6"/>
      <c r="E370" s="7" t="s">
        <v>1312</v>
      </c>
      <c r="F370" s="7" t="s">
        <v>1311</v>
      </c>
      <c r="G370" s="6"/>
      <c r="H370" s="6" t="str">
        <f>_xll.BDP($A370,"IPO_OFFER_PX_TO_LAST_CLOSE_%_CHG",$A$1,$A$2)</f>
        <v>#N/A N/A</v>
      </c>
      <c r="I370" s="6">
        <f>_xll.BDP($A370,"IPO_OFFER_PX_TO_1ST_OPEN_%_CHG",$A$1,$A$2)</f>
        <v>97.5</v>
      </c>
      <c r="J370" s="6">
        <v>10</v>
      </c>
      <c r="K370" s="6">
        <v>3000000</v>
      </c>
      <c r="L370" s="7"/>
      <c r="M370" s="7"/>
      <c r="N370" s="7"/>
    </row>
    <row r="371" spans="1:14" s="4" customFormat="1" ht="13.2" x14ac:dyDescent="0.25">
      <c r="A371" s="7" t="s">
        <v>1313</v>
      </c>
      <c r="B371" s="7" t="s">
        <v>1314</v>
      </c>
      <c r="C371" s="7" t="s">
        <v>1315</v>
      </c>
      <c r="D371" s="6"/>
      <c r="E371" s="7" t="s">
        <v>1316</v>
      </c>
      <c r="F371" s="7" t="s">
        <v>1314</v>
      </c>
      <c r="G371" s="6"/>
      <c r="H371" s="6" t="str">
        <f>_xll.BDP($A371,"IPO_OFFER_PX_TO_LAST_CLOSE_%_CHG",$A$1,$A$2)</f>
        <v>#N/A N/A</v>
      </c>
      <c r="I371" s="6">
        <f>_xll.BDP($A371,"IPO_OFFER_PX_TO_1ST_OPEN_%_CHG",$A$1,$A$2)</f>
        <v>0</v>
      </c>
      <c r="J371" s="6">
        <v>8.5</v>
      </c>
      <c r="K371" s="6">
        <v>16000000</v>
      </c>
      <c r="L371" s="7"/>
      <c r="M371" s="7"/>
      <c r="N371" s="7"/>
    </row>
    <row r="372" spans="1:14" s="4" customFormat="1" ht="13.2" x14ac:dyDescent="0.25">
      <c r="A372" s="7" t="s">
        <v>1317</v>
      </c>
      <c r="B372" s="7" t="s">
        <v>1318</v>
      </c>
      <c r="C372" s="7" t="s">
        <v>1315</v>
      </c>
      <c r="D372" s="6"/>
      <c r="E372" s="7" t="s">
        <v>1319</v>
      </c>
      <c r="F372" s="7" t="s">
        <v>1318</v>
      </c>
      <c r="G372" s="6"/>
      <c r="H372" s="6" t="str">
        <f>_xll.BDP($A372,"IPO_OFFER_PX_TO_LAST_CLOSE_%_CHG",$A$1,$A$2)</f>
        <v>#N/A N/A</v>
      </c>
      <c r="I372" s="6">
        <f>_xll.BDP($A372,"IPO_OFFER_PX_TO_1ST_OPEN_%_CHG",$A$1,$A$2)</f>
        <v>206.73079999999999</v>
      </c>
      <c r="J372" s="6">
        <v>13</v>
      </c>
      <c r="K372" s="6">
        <v>7000000</v>
      </c>
      <c r="L372" s="7"/>
      <c r="M372" s="7"/>
      <c r="N372" s="7"/>
    </row>
    <row r="373" spans="1:14" s="4" customFormat="1" ht="13.2" x14ac:dyDescent="0.25">
      <c r="A373" s="7" t="s">
        <v>1320</v>
      </c>
      <c r="B373" s="7" t="s">
        <v>1321</v>
      </c>
      <c r="C373" s="7" t="s">
        <v>1322</v>
      </c>
      <c r="D373" s="6"/>
      <c r="E373" s="7" t="s">
        <v>1323</v>
      </c>
      <c r="F373" s="7" t="s">
        <v>1321</v>
      </c>
      <c r="G373" s="6"/>
      <c r="H373" s="6" t="str">
        <f>_xll.BDP($A373,"IPO_OFFER_PX_TO_LAST_CLOSE_%_CHG",$A$1,$A$2)</f>
        <v>#N/A N/A</v>
      </c>
      <c r="I373" s="6">
        <f>_xll.BDP($A373,"IPO_OFFER_PX_TO_1ST_OPEN_%_CHG",$A$1,$A$2)</f>
        <v>25</v>
      </c>
      <c r="J373" s="6">
        <v>2</v>
      </c>
      <c r="K373" s="6">
        <v>3858050</v>
      </c>
      <c r="L373" s="7"/>
      <c r="M373" s="7"/>
      <c r="N373" s="7"/>
    </row>
    <row r="375" spans="1:14" ht="40.049999999999997" customHeight="1" x14ac:dyDescent="0.25">
      <c r="A375" s="9" t="s">
        <v>1324</v>
      </c>
      <c r="B375" s="9"/>
      <c r="C375" s="9"/>
      <c r="D375" s="9"/>
      <c r="E375" s="9"/>
      <c r="F375" s="9"/>
      <c r="G375" s="9"/>
      <c r="H375" s="9"/>
      <c r="I375" s="9"/>
      <c r="J375" s="9"/>
      <c r="K375" s="9"/>
      <c r="L375" s="9"/>
      <c r="M375" s="9"/>
      <c r="N375" s="9"/>
    </row>
  </sheetData>
  <mergeCells count="1">
    <mergeCell ref="A375:N375"/>
  </mergeCells>
  <pageMargins left="0.7" right="0.7" top="0.75" bottom="0.75" header="0.3" footer="0.3"/>
</worksheet>
</file>

<file path=docMetadata/LabelInfo.xml><?xml version="1.0" encoding="utf-8"?>
<clbl:labelList xmlns:clbl="http://schemas.microsoft.com/office/2020/mipLabelMetadata">
  <clbl:label id="{defa4170-0d19-0005-0004-bc88714345d2}" enabled="1" method="Standard" siteId="{b8dec6b4-efc3-484f-96ca-de2c8e72a92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id:6a5f80a58c6c0000 on NXPGR-RR-433</cp:keywords>
  <cp:lastModifiedBy>Gavin Walsh</cp:lastModifiedBy>
  <dcterms:created xsi:type="dcterms:W3CDTF">2026-07-21T14:23:11Z</dcterms:created>
  <dcterms:modified xsi:type="dcterms:W3CDTF">2026-07-21T14:23:11Z</dcterms:modified>
</cp:coreProperties>
</file>