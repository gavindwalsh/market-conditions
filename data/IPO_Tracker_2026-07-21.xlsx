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iced_2026" sheetId="2" state="visible" r:id="rId4"/>
    <sheet name="Pipeline" sheetId="3" state="visible" r:id="rId5"/>
    <sheet name="Master" sheetId="4" state="visible" r:id="rId6"/>
    <sheet name="Change_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<sst xmlns="http://schemas.openxmlformats.org/spreadsheetml/2006/main" count="2129" uniqueCount="476">
  <si>
    <t xml:space="preserve">IPO Tracker — Master Workbook</t>
  </si>
  <si>
    <t xml:space="preserve">Run date: 2026-07-21 (Eastern). All $ USD.</t>
  </si>
  <si>
    <t xml:space="preserve">TABS</t>
  </si>
  <si>
    <t xml:space="preserve">Master</t>
  </si>
  <si>
    <t xml:space="preserve">One row per company, priced and pipeline combined. Feed for dashboard.</t>
  </si>
  <si>
    <t xml:space="preserve">Priced_2026</t>
  </si>
  <si>
    <t xml:space="preserve">Bloomberg BEQS screen IPO_THIS_YEAR (pulled this run): all 2026 US-priced IPOs with offer terms and performance.</t>
  </si>
  <si>
    <t xml:space="preserve">Pipeline</t>
  </si>
  <si>
    <t xml:space="preserve">Forward-looking names by stage and confidence tier.</t>
  </si>
  <si>
    <t xml:space="preserve">Change_Log</t>
  </si>
  <si>
    <t xml:space="preserve">Deltas vs prior run. Initial run: all rows new.</t>
  </si>
  <si>
    <t xml:space="preserve">STAGES</t>
  </si>
  <si>
    <t xml:space="preserve">Rumored</t>
  </si>
  <si>
    <t xml:space="preserve">Executive comments, banker mandates, press speculation. No filing.</t>
  </si>
  <si>
    <t xml:space="preserve">Stated intent</t>
  </si>
  <si>
    <t xml:space="preserve">Company/board has signaled a target window publicly. No filing confirmed.</t>
  </si>
  <si>
    <t xml:space="preserve">Confidential filing</t>
  </si>
  <si>
    <t xml:space="preserve">Draft registration statement reportedly submitted (invisible on EDGAR until ~15 days pre-roadshow).</t>
  </si>
  <si>
    <t xml:space="preserve">Public S-1</t>
  </si>
  <si>
    <t xml:space="preserve">Registration statement on EDGAR. Raise amount is placeholder until amended.</t>
  </si>
  <si>
    <t xml:space="preserve">Terms set</t>
  </si>
  <si>
    <t xml:space="preserve">Amended S-1 with price range and share count. Real raise/valuation numbers; days from pricing.</t>
  </si>
  <si>
    <t xml:space="preserve">Priced</t>
  </si>
  <si>
    <t xml:space="preserve">424B4 filed / trading. Moves to Priced_2026 detail.</t>
  </si>
  <si>
    <t xml:space="preserve">Withdrawn</t>
  </si>
  <si>
    <t xml:space="preserve">Deal pulled or formally postponed.</t>
  </si>
  <si>
    <t xml:space="preserve">CONFIDENCE TIERS</t>
  </si>
  <si>
    <t xml:space="preserve">A</t>
  </si>
  <si>
    <t xml:space="preserve">Terms set — hard numbers, dated.</t>
  </si>
  <si>
    <t xml:space="preserve">B</t>
  </si>
  <si>
    <t xml:space="preserve">Public filing — company and financials known, no terms.</t>
  </si>
  <si>
    <t xml:space="preserve">C</t>
  </si>
  <si>
    <t xml:space="preserve">Confirmed confidential filing (company statement or credible press).</t>
  </si>
  <si>
    <t xml:space="preserve">D</t>
  </si>
  <si>
    <t xml:space="preserve">Stated intent / rumor. Valuations are private-round or secondary marks, often stale.</t>
  </si>
  <si>
    <t xml:space="preserve">SOURCES THIS RUN</t>
  </si>
  <si>
    <t xml:space="preserve">Bloomberg</t>
  </si>
  <si>
    <t xml:space="preserve">BEQS saved screen IPO_THIS_YEAR (priced universe, offer terms, performance).</t>
  </si>
  <si>
    <t xml:space="preserve">Forge Global</t>
  </si>
  <si>
    <t xml:space="preserve">US IPO Pipeline 2026 page, updated 7/17/26 (confidential + rumored tiers, private valuations).</t>
  </si>
  <si>
    <t xml:space="preserve">SEC EDGAR</t>
  </si>
  <si>
    <t xml:space="preserve">S-1 filings surfaced via search; resale/ELOC registrations excluded.</t>
  </si>
  <si>
    <t xml:space="preserve">Renaissance Capital</t>
  </si>
  <si>
    <t xml:space="preserve">Scheduled calendar: empty for w/o 7/13 and nothing scheduled ahead (dates rarely set &gt;7-10 days out).</t>
  </si>
  <si>
    <t xml:space="preserve">Press</t>
  </si>
  <si>
    <t xml:space="preserve">Bloomberg News, WSJ, CNBC, The Information, US News as cited per row.</t>
  </si>
  <si>
    <t xml:space="preserve">NOTES</t>
  </si>
  <si>
    <t xml:space="preserve">Valuation columns are kept separate deliberately:</t>
  </si>
  <si>
    <t xml:space="preserve">last private round =/= IPO valuation =/= current market cap.</t>
  </si>
  <si>
    <t xml:space="preserve">Pipeline valuations</t>
  </si>
  <si>
    <t xml:space="preserve">are post-money COI-based marks (Forge) and can be stale; see valuation_basis.</t>
  </si>
  <si>
    <t xml:space="preserve">SPAC tagging</t>
  </si>
  <si>
    <t xml:space="preserve">pattern-based (name + $10 unit + no GICS sector); Fund/Vehicle = closed-end structures (PSUS, RVI).</t>
  </si>
  <si>
    <t xml:space="preserve">Market cap caveat</t>
  </si>
  <si>
    <t xml:space="preserve">Bloomberg CUR_MKT_CAP may reflect one share class for multi-class issuers (e.g., BTGO).</t>
  </si>
  <si>
    <t xml:space="preserve">Ticker</t>
  </si>
  <si>
    <t xml:space="preserve">Company</t>
  </si>
  <si>
    <t xml:space="preserve">IPO Date</t>
  </si>
  <si>
    <t xml:space="preserve">Vehicle Type</t>
  </si>
  <si>
    <t xml:space="preserve">GICS Sector</t>
  </si>
  <si>
    <t xml:space="preserve">Offer Px ($)</t>
  </si>
  <si>
    <t xml:space="preserve">Shares Offered (mm)</t>
  </si>
  <si>
    <t xml:space="preserve">Gross Proceeds ($mm)</t>
  </si>
  <si>
    <t xml:space="preserve">Last Px ($)</t>
  </si>
  <si>
    <t xml:space="preserve">Mkt Cap ($mm)</t>
  </si>
  <si>
    <t xml:space="preserve">First-Day Open vs Offer (%)</t>
  </si>
  <si>
    <t xml:space="preserve">Since Offer (%)</t>
  </si>
  <si>
    <t xml:space="preserve">BUDA US</t>
  </si>
  <si>
    <t xml:space="preserve">BUDA JUICE INC</t>
  </si>
  <si>
    <t xml:space="preserve">2026-01-08</t>
  </si>
  <si>
    <t xml:space="preserve">Operating Co</t>
  </si>
  <si>
    <t xml:space="preserve">Consumer Staples</t>
  </si>
  <si>
    <t xml:space="preserve">AKTS US</t>
  </si>
  <si>
    <t xml:space="preserve">AKTIS ONCOLOGY INC</t>
  </si>
  <si>
    <t xml:space="preserve">2026-01-09</t>
  </si>
  <si>
    <t xml:space="preserve">Health Care</t>
  </si>
  <si>
    <t xml:space="preserve">GCDT US</t>
  </si>
  <si>
    <t xml:space="preserve">GREEN CIRCLE DECARBONIZE TEC</t>
  </si>
  <si>
    <t xml:space="preserve">2026-01-13</t>
  </si>
  <si>
    <t xml:space="preserve">Industrials</t>
  </si>
  <si>
    <t xml:space="preserve">BTGO US</t>
  </si>
  <si>
    <t xml:space="preserve">BITGO HOLDINGS INC-CL A</t>
  </si>
  <si>
    <t xml:space="preserve">2026-01-22</t>
  </si>
  <si>
    <t xml:space="preserve">Financials</t>
  </si>
  <si>
    <t xml:space="preserve">EQPT US</t>
  </si>
  <si>
    <t xml:space="preserve">EQUIPMENTSHARE.COM INC-A</t>
  </si>
  <si>
    <t xml:space="preserve">2026-01-23</t>
  </si>
  <si>
    <t xml:space="preserve">HLXC US</t>
  </si>
  <si>
    <t xml:space="preserve">HELIX ACQUISITION CORP-CL A</t>
  </si>
  <si>
    <t xml:space="preserve">SPAC</t>
  </si>
  <si>
    <t xml:space="preserve">PICS US</t>
  </si>
  <si>
    <t xml:space="preserve">PICS NV</t>
  </si>
  <si>
    <t xml:space="preserve">2026-01-29</t>
  </si>
  <si>
    <t xml:space="preserve">LIFE US</t>
  </si>
  <si>
    <t xml:space="preserve">ETHOS TECHNOLOGIES INC CL-A</t>
  </si>
  <si>
    <t xml:space="preserve">YSS US</t>
  </si>
  <si>
    <t xml:space="preserve">YORK SPACE SYSTEMS INC</t>
  </si>
  <si>
    <t xml:space="preserve">MANE US</t>
  </si>
  <si>
    <t xml:space="preserve">VERADERMICS INC</t>
  </si>
  <si>
    <t xml:space="preserve">2026-02-04</t>
  </si>
  <si>
    <t xml:space="preserve">EIKN US</t>
  </si>
  <si>
    <t xml:space="preserve">EIKON THERAPEUTICS INC</t>
  </si>
  <si>
    <t xml:space="preserve">2026-02-05</t>
  </si>
  <si>
    <t xml:space="preserve">FPS US</t>
  </si>
  <si>
    <t xml:space="preserve">FORGENT POWER SOLUTIONS-CL A</t>
  </si>
  <si>
    <t xml:space="preserve">CEPS US</t>
  </si>
  <si>
    <t xml:space="preserve">CANTOR EQUITY PARTNERS VI -A</t>
  </si>
  <si>
    <t xml:space="preserve">BOBS US</t>
  </si>
  <si>
    <t xml:space="preserve">BOB'S DISCOUNT FURNITURE</t>
  </si>
  <si>
    <t xml:space="preserve">Consumer Discretionary</t>
  </si>
  <si>
    <t xml:space="preserve">OFRM US</t>
  </si>
  <si>
    <t xml:space="preserve">ONCE UPON A FARM PBC</t>
  </si>
  <si>
    <t xml:space="preserve">2026-02-06</t>
  </si>
  <si>
    <t xml:space="preserve">SGP US</t>
  </si>
  <si>
    <t xml:space="preserve">SPYGLASS PHARMA INC</t>
  </si>
  <si>
    <t xml:space="preserve">JAGU US</t>
  </si>
  <si>
    <t xml:space="preserve">JAGUAR URANIUM CORP-CL A</t>
  </si>
  <si>
    <t xml:space="preserve">2026-02-10</t>
  </si>
  <si>
    <t xml:space="preserve">Energy</t>
  </si>
  <si>
    <t xml:space="preserve">MWH US</t>
  </si>
  <si>
    <t xml:space="preserve">SOLV ENERGY INC-CL A</t>
  </si>
  <si>
    <t xml:space="preserve">2026-02-11</t>
  </si>
  <si>
    <t xml:space="preserve">AGBK US</t>
  </si>
  <si>
    <t xml:space="preserve">AGI INC-CL A</t>
  </si>
  <si>
    <t xml:space="preserve">APC US</t>
  </si>
  <si>
    <t xml:space="preserve">ARKO PETROLEUM CORP</t>
  </si>
  <si>
    <t xml:space="preserve">2026-02-12</t>
  </si>
  <si>
    <t xml:space="preserve">SHAZ US</t>
  </si>
  <si>
    <t xml:space="preserve">SHARONAI HOLDINGS INC</t>
  </si>
  <si>
    <t xml:space="preserve">2026-02-18</t>
  </si>
  <si>
    <t xml:space="preserve">Information Technology</t>
  </si>
  <si>
    <t xml:space="preserve">BESS US</t>
  </si>
  <si>
    <t xml:space="preserve">BIMERGEN ENERGY CORP</t>
  </si>
  <si>
    <t xml:space="preserve">2026-02-20</t>
  </si>
  <si>
    <t xml:space="preserve">ROC US</t>
  </si>
  <si>
    <t xml:space="preserve">RANK ONE COMPUTING CORP</t>
  </si>
  <si>
    <t xml:space="preserve">FVAV US</t>
  </si>
  <si>
    <t xml:space="preserve">FORTRESS VALUE ACQUIS V-CL A</t>
  </si>
  <si>
    <t xml:space="preserve">2026-02-26</t>
  </si>
  <si>
    <t xml:space="preserve">GENB US</t>
  </si>
  <si>
    <t xml:space="preserve">GENERATE BIOMEDICINES INC</t>
  </si>
  <si>
    <t xml:space="preserve">2026-02-27</t>
  </si>
  <si>
    <t xml:space="preserve">KCAC/U US</t>
  </si>
  <si>
    <t xml:space="preserve">KENSINGTON CAPITAL ACQUISITI</t>
  </si>
  <si>
    <t xml:space="preserve">2026-03-04</t>
  </si>
  <si>
    <t xml:space="preserve">RVI US</t>
  </si>
  <si>
    <t xml:space="preserve">ROBINHOOD VENTURES FUND I</t>
  </si>
  <si>
    <t xml:space="preserve">2026-03-06</t>
  </si>
  <si>
    <t xml:space="preserve">Fund/Vehicle</t>
  </si>
  <si>
    <t xml:space="preserve">MMED US</t>
  </si>
  <si>
    <t xml:space="preserve">MINIMED GROUP INC</t>
  </si>
  <si>
    <t xml:space="preserve">PAYP US</t>
  </si>
  <si>
    <t xml:space="preserve">PAYPAY CORP</t>
  </si>
  <si>
    <t xml:space="preserve">2026-03-12</t>
  </si>
  <si>
    <t xml:space="preserve">SWMR US</t>
  </si>
  <si>
    <t xml:space="preserve">SWARMER INC</t>
  </si>
  <si>
    <t xml:space="preserve">2026-03-17</t>
  </si>
  <si>
    <t xml:space="preserve">JAN US</t>
  </si>
  <si>
    <t xml:space="preserve">JANUS LIVING INC CL-A-1</t>
  </si>
  <si>
    <t xml:space="preserve">2026-03-20</t>
  </si>
  <si>
    <t xml:space="preserve">Real Estate</t>
  </si>
  <si>
    <t xml:space="preserve">URSB US</t>
  </si>
  <si>
    <t xml:space="preserve">URSB BANCORP INC</t>
  </si>
  <si>
    <t xml:space="preserve">2026-03-26</t>
  </si>
  <si>
    <t xml:space="preserve">HMH US</t>
  </si>
  <si>
    <t xml:space="preserve">HMH HOLDING INC CL-A</t>
  </si>
  <si>
    <t xml:space="preserve">2026-04-01</t>
  </si>
  <si>
    <t xml:space="preserve">ARXS US</t>
  </si>
  <si>
    <t xml:space="preserve">ARXIS INC-A</t>
  </si>
  <si>
    <t xml:space="preserve">2026-04-16</t>
  </si>
  <si>
    <t xml:space="preserve">MAIR US</t>
  </si>
  <si>
    <t xml:space="preserve">MADISON AIR SOLUTIONS CORP-A</t>
  </si>
  <si>
    <t xml:space="preserve">JATT US</t>
  </si>
  <si>
    <t xml:space="preserve">JATT II ACQUISITION CORP</t>
  </si>
  <si>
    <t xml:space="preserve">2026-04-17</t>
  </si>
  <si>
    <t xml:space="preserve">ALMR US</t>
  </si>
  <si>
    <t xml:space="preserve">ALAMAR BIOSCIENCES INC</t>
  </si>
  <si>
    <t xml:space="preserve">KLRA US</t>
  </si>
  <si>
    <t xml:space="preserve">KAILERA THERAPEUTICS INC</t>
  </si>
  <si>
    <t xml:space="preserve">AVEX US</t>
  </si>
  <si>
    <t xml:space="preserve">AEVEX CORP-CL A</t>
  </si>
  <si>
    <t xml:space="preserve">YSWY US</t>
  </si>
  <si>
    <t xml:space="preserve">YESWAY INC-A</t>
  </si>
  <si>
    <t xml:space="preserve">2026-04-22</t>
  </si>
  <si>
    <t xml:space="preserve">ELMT US</t>
  </si>
  <si>
    <t xml:space="preserve">ELMET GROUP CO/THE</t>
  </si>
  <si>
    <t xml:space="preserve">2026-04-23</t>
  </si>
  <si>
    <t xml:space="preserve">XE US</t>
  </si>
  <si>
    <t xml:space="preserve">X-ENERGY INC</t>
  </si>
  <si>
    <t xml:space="preserve">2026-04-24</t>
  </si>
  <si>
    <t xml:space="preserve">PSUS US</t>
  </si>
  <si>
    <t xml:space="preserve">PERSHING SQUARE USA LTD</t>
  </si>
  <si>
    <t xml:space="preserve">2026-04-29</t>
  </si>
  <si>
    <t xml:space="preserve">AVLN US</t>
  </si>
  <si>
    <t xml:space="preserve">AVALYN PHARMA INC</t>
  </si>
  <si>
    <t xml:space="preserve">2026-04-30</t>
  </si>
  <si>
    <t xml:space="preserve">SBMT US</t>
  </si>
  <si>
    <t xml:space="preserve">SILVER BOW MINING CORP</t>
  </si>
  <si>
    <t xml:space="preserve">Materials</t>
  </si>
  <si>
    <t xml:space="preserve">SPTX US</t>
  </si>
  <si>
    <t xml:space="preserve">SEAPORT THERAPEUTICS INC</t>
  </si>
  <si>
    <t xml:space="preserve">2026-05-01</t>
  </si>
  <si>
    <t xml:space="preserve">COAG US</t>
  </si>
  <si>
    <t xml:space="preserve">HEMAB THERAPEUTICS HOLDINGS</t>
  </si>
  <si>
    <t xml:space="preserve">REA US</t>
  </si>
  <si>
    <t xml:space="preserve">RARE EARTHS AMERICAS INC</t>
  </si>
  <si>
    <t xml:space="preserve">2026-05-06</t>
  </si>
  <si>
    <t xml:space="preserve">HAWK US</t>
  </si>
  <si>
    <t xml:space="preserve">HAWKEYE 360 INC</t>
  </si>
  <si>
    <t xml:space="preserve">2026-05-07</t>
  </si>
  <si>
    <t xml:space="preserve">MOBI US</t>
  </si>
  <si>
    <t xml:space="preserve">MOBIA MEDICAL INC</t>
  </si>
  <si>
    <t xml:space="preserve">2026-05-08</t>
  </si>
  <si>
    <t xml:space="preserve">ODTX US</t>
  </si>
  <si>
    <t xml:space="preserve">ODYSSEY THERAPEUTICS INC</t>
  </si>
  <si>
    <t xml:space="preserve">FRVO US</t>
  </si>
  <si>
    <t xml:space="preserve">FERVO ENERGY CO-A</t>
  </si>
  <si>
    <t xml:space="preserve">2026-05-13</t>
  </si>
  <si>
    <t xml:space="preserve">Utilities</t>
  </si>
  <si>
    <t xml:space="preserve">GMRS US</t>
  </si>
  <si>
    <t xml:space="preserve">GMR SOLUTIONS INC-A</t>
  </si>
  <si>
    <t xml:space="preserve">BXDC US</t>
  </si>
  <si>
    <t xml:space="preserve">BLACKSTONE DIGITAL INFRASTRU</t>
  </si>
  <si>
    <t xml:space="preserve">2026-05-14</t>
  </si>
  <si>
    <t xml:space="preserve">EROK US</t>
  </si>
  <si>
    <t xml:space="preserve">EAGLEROCK LAND LLC -CL A</t>
  </si>
  <si>
    <t xml:space="preserve">CBRS US</t>
  </si>
  <si>
    <t xml:space="preserve">CEREBRAS SYSTEMS INC - A</t>
  </si>
  <si>
    <t xml:space="preserve">VIDA US</t>
  </si>
  <si>
    <t xml:space="preserve">VIDA GLOBAL INC CL-A</t>
  </si>
  <si>
    <t xml:space="preserve">2026-05-15</t>
  </si>
  <si>
    <t xml:space="preserve">AMAN US</t>
  </si>
  <si>
    <t xml:space="preserve">AMANAT ACQUISITION CORP CL A</t>
  </si>
  <si>
    <t xml:space="preserve">2026-05-19</t>
  </si>
  <si>
    <t xml:space="preserve">LCLN US</t>
  </si>
  <si>
    <t xml:space="preserve">LINCOLN INTERNATIONAL INC</t>
  </si>
  <si>
    <t xml:space="preserve">2026-05-20</t>
  </si>
  <si>
    <t xml:space="preserve">RACC US</t>
  </si>
  <si>
    <t xml:space="preserve">RESEARCH ALLIANCE CORP CL A</t>
  </si>
  <si>
    <t xml:space="preserve">LTGRU US</t>
  </si>
  <si>
    <t xml:space="preserve">LONG TABLE GROWTH CORP</t>
  </si>
  <si>
    <t xml:space="preserve">2026-06-03</t>
  </si>
  <si>
    <t xml:space="preserve">AADX US</t>
  </si>
  <si>
    <t xml:space="preserve">APPLIED AEROSPACE &amp; DEFENSE</t>
  </si>
  <si>
    <t xml:space="preserve">IPVVU US</t>
  </si>
  <si>
    <t xml:space="preserve">INTERPRIVATE INVESTMENT PART</t>
  </si>
  <si>
    <t xml:space="preserve">2026-06-04</t>
  </si>
  <si>
    <t xml:space="preserve">INIO US</t>
  </si>
  <si>
    <t xml:space="preserve">INNIO NV</t>
  </si>
  <si>
    <t xml:space="preserve">LFTO US</t>
  </si>
  <si>
    <t xml:space="preserve">LIFTOFF MOBILE INC</t>
  </si>
  <si>
    <t xml:space="preserve">Communication Services</t>
  </si>
  <si>
    <t xml:space="preserve">QNT US</t>
  </si>
  <si>
    <t xml:space="preserve">QUANTINUUM INC-A</t>
  </si>
  <si>
    <t xml:space="preserve">SSMR US</t>
  </si>
  <si>
    <t xml:space="preserve">SUNSHINE SILVER MINING &amp; REF</t>
  </si>
  <si>
    <t xml:space="preserve">FTRA/U US</t>
  </si>
  <si>
    <t xml:space="preserve">FUTURECORP SPACE ACQUISITION</t>
  </si>
  <si>
    <t xml:space="preserve">2026-06-05</t>
  </si>
  <si>
    <t xml:space="preserve">ELOX US</t>
  </si>
  <si>
    <t xml:space="preserve">ELOXX PHARMACEUTICALS INC</t>
  </si>
  <si>
    <t xml:space="preserve">2026-06-09</t>
  </si>
  <si>
    <t xml:space="preserve">OCAC/U US</t>
  </si>
  <si>
    <t xml:space="preserve">OCEAN CAPITAL ACQUISITION CO</t>
  </si>
  <si>
    <t xml:space="preserve">WHK US</t>
  </si>
  <si>
    <t xml:space="preserve">WHITEHAWK MINERALS CORP-CL A</t>
  </si>
  <si>
    <t xml:space="preserve">ISNRU US</t>
  </si>
  <si>
    <t xml:space="preserve">SNOW ROTHSCHILD ACQUISITION</t>
  </si>
  <si>
    <t xml:space="preserve">PBLS US</t>
  </si>
  <si>
    <t xml:space="preserve">PARABILIS MEDICINES INC</t>
  </si>
  <si>
    <t xml:space="preserve">2026-06-10</t>
  </si>
  <si>
    <t xml:space="preserve">EROC US</t>
  </si>
  <si>
    <t xml:space="preserve">EROCK INC-A</t>
  </si>
  <si>
    <t xml:space="preserve">JABRU US</t>
  </si>
  <si>
    <t xml:space="preserve">JAB ACQUISITION CORP I</t>
  </si>
  <si>
    <t xml:space="preserve">FRBT US</t>
  </si>
  <si>
    <t xml:space="preserve">FORBRIGHT INC -A</t>
  </si>
  <si>
    <t xml:space="preserve">2026-06-11</t>
  </si>
  <si>
    <t xml:space="preserve">SPCX US</t>
  </si>
  <si>
    <t xml:space="preserve">SPACE EXPLORATION TECHN-CL A</t>
  </si>
  <si>
    <t xml:space="preserve">2026-06-12</t>
  </si>
  <si>
    <t xml:space="preserve">CAES US</t>
  </si>
  <si>
    <t xml:space="preserve">CANTOR EQUITY PARTNERS VII-A</t>
  </si>
  <si>
    <t xml:space="preserve">2026-06-17</t>
  </si>
  <si>
    <t xml:space="preserve">WLCOU US</t>
  </si>
  <si>
    <t xml:space="preserve">WILCO 63 CORP-UNIT</t>
  </si>
  <si>
    <t xml:space="preserve">2026-06-18</t>
  </si>
  <si>
    <t xml:space="preserve">FISN US</t>
  </si>
  <si>
    <t xml:space="preserve">DEEP FISSION INC</t>
  </si>
  <si>
    <t xml:space="preserve">FCBM US</t>
  </si>
  <si>
    <t xml:space="preserve">FIRST CAROLINA FINANCIAL SER</t>
  </si>
  <si>
    <t xml:space="preserve">KARD US</t>
  </si>
  <si>
    <t xml:space="preserve">KARDIGAN INC</t>
  </si>
  <si>
    <t xml:space="preserve">GHXIU US</t>
  </si>
  <si>
    <t xml:space="preserve">GORES HOLDINGS XI INC</t>
  </si>
  <si>
    <t xml:space="preserve">2026-06-23</t>
  </si>
  <si>
    <t xml:space="preserve">CGCFU US</t>
  </si>
  <si>
    <t xml:space="preserve">CARTESIAN GROWTH CORP IV</t>
  </si>
  <si>
    <t xml:space="preserve">2026-06-25</t>
  </si>
  <si>
    <t xml:space="preserve">FWACU US</t>
  </si>
  <si>
    <t xml:space="preserve">FUTUREWAVE ACQUISITION CORP</t>
  </si>
  <si>
    <t xml:space="preserve">DPC US</t>
  </si>
  <si>
    <t xml:space="preserve">DPC HOLDINGS PLC</t>
  </si>
  <si>
    <t xml:space="preserve">SIND US</t>
  </si>
  <si>
    <t xml:space="preserve">SINDA LTD</t>
  </si>
  <si>
    <t xml:space="preserve">2026-06-26</t>
  </si>
  <si>
    <t xml:space="preserve">AAC/U US</t>
  </si>
  <si>
    <t xml:space="preserve">ARES ACQUISITION CORP III</t>
  </si>
  <si>
    <t xml:space="preserve">2026-06-30</t>
  </si>
  <si>
    <t xml:space="preserve">ITG US</t>
  </si>
  <si>
    <t xml:space="preserve">ITG INC CL A</t>
  </si>
  <si>
    <t xml:space="preserve">2026-07-01</t>
  </si>
  <si>
    <t xml:space="preserve">OSPRU US</t>
  </si>
  <si>
    <t xml:space="preserve">OSPREY ACQUISITION CORP III</t>
  </si>
  <si>
    <t xml:space="preserve">LIME US</t>
  </si>
  <si>
    <t xml:space="preserve">NEUTRON HOLDINGS INC</t>
  </si>
  <si>
    <t xml:space="preserve">BSP US</t>
  </si>
  <si>
    <t xml:space="preserve">BENDING SPOONS SPA</t>
  </si>
  <si>
    <t xml:space="preserve">MIACU US</t>
  </si>
  <si>
    <t xml:space="preserve">MERIDIAN3 INDUSTRIALS ACQUIS</t>
  </si>
  <si>
    <t xml:space="preserve">2026-07-02</t>
  </si>
  <si>
    <t xml:space="preserve">BCCQU US</t>
  </si>
  <si>
    <t xml:space="preserve">BLEICHROEDER ACQUISITION COR</t>
  </si>
  <si>
    <t xml:space="preserve">2026-07-07</t>
  </si>
  <si>
    <t xml:space="preserve">FDMMU US</t>
  </si>
  <si>
    <t xml:space="preserve">FREEDOM METALS ACQUISITION C</t>
  </si>
  <si>
    <t xml:space="preserve">2026-07-08</t>
  </si>
  <si>
    <t xml:space="preserve">MRCOU US</t>
  </si>
  <si>
    <t xml:space="preserve">MERCATOR ACQUISITION CO-UNIT</t>
  </si>
  <si>
    <t xml:space="preserve">2026-07-09</t>
  </si>
  <si>
    <t xml:space="preserve">CCCTU US</t>
  </si>
  <si>
    <t xml:space="preserve">COLUMBUS CIRCLE CAPITAL CORP</t>
  </si>
  <si>
    <t xml:space="preserve">SAMO/U US</t>
  </si>
  <si>
    <t xml:space="preserve">SAMOS ENERGY ACQUISITION COR</t>
  </si>
  <si>
    <t xml:space="preserve">2026-07-10</t>
  </si>
  <si>
    <t xml:space="preserve">RACD US</t>
  </si>
  <si>
    <t xml:space="preserve">RESEARCH ALLIANCE CORP IV-A</t>
  </si>
  <si>
    <t xml:space="preserve">2026-07-13</t>
  </si>
  <si>
    <t xml:space="preserve">JONEU US</t>
  </si>
  <si>
    <t xml:space="preserve">JONES VENTURES ACQUISITION I</t>
  </si>
  <si>
    <t xml:space="preserve">2026-07-14</t>
  </si>
  <si>
    <t xml:space="preserve">CSQR US</t>
  </si>
  <si>
    <t xml:space="preserve">CSQUARE INC</t>
  </si>
  <si>
    <t xml:space="preserve">2026-07-16</t>
  </si>
  <si>
    <t xml:space="preserve">STDN US</t>
  </si>
  <si>
    <t xml:space="preserve">STANDARD NUCLEAR INC-A</t>
  </si>
  <si>
    <t xml:space="preserve">AMACU US</t>
  </si>
  <si>
    <t xml:space="preserve">AMR RESOURCES ACQUISITION CO</t>
  </si>
  <si>
    <t xml:space="preserve">2026-07-17</t>
  </si>
  <si>
    <t xml:space="preserve">BRTMU US</t>
  </si>
  <si>
    <t xml:space="preserve">B&amp;R TECHNOLOGY MERGER CORP</t>
  </si>
  <si>
    <t xml:space="preserve">2026-07-21</t>
  </si>
  <si>
    <t xml:space="preserve">NCOOU US</t>
  </si>
  <si>
    <t xml:space="preserve">SOUTHERN CROSS ACQUISITION I</t>
  </si>
  <si>
    <t xml:space="preserve">Totals / medians (operating cos only where noted)</t>
  </si>
  <si>
    <t xml:space="preserve">Deal count</t>
  </si>
  <si>
    <t xml:space="preserve">Gross proceeds, all ($mm)</t>
  </si>
  <si>
    <t xml:space="preserve">Median first-day open vs offer</t>
  </si>
  <si>
    <t xml:space="preserve">Median return since offer</t>
  </si>
  <si>
    <t xml:space="preserve">Stage</t>
  </si>
  <si>
    <t xml:space="preserve">Tier</t>
  </si>
  <si>
    <t xml:space="preserve">Sector</t>
  </si>
  <si>
    <t xml:space="preserve">Exchange</t>
  </si>
  <si>
    <t xml:space="preserve">Expected Window</t>
  </si>
  <si>
    <t xml:space="preserve">Last Private Valuation ($bn)</t>
  </si>
  <si>
    <t xml:space="preserve">Valuation Basis</t>
  </si>
  <si>
    <t xml:space="preserve">Filing Date</t>
  </si>
  <si>
    <t xml:space="preserve">Source</t>
  </si>
  <si>
    <t xml:space="preserve">As Of</t>
  </si>
  <si>
    <t xml:space="preserve">Notes</t>
  </si>
  <si>
    <t xml:space="preserve">Motive</t>
  </si>
  <si>
    <t xml:space="preserve">NYSE</t>
  </si>
  <si>
    <t xml:space="preserve">MTVE</t>
  </si>
  <si>
    <t xml:space="preserve">No date announced</t>
  </si>
  <si>
    <t xml:space="preserve">Series F post-money 07/30/2025</t>
  </si>
  <si>
    <t xml:space="preserve">2025-12-23</t>
  </si>
  <si>
    <t xml:space="preserve">Forge pipeline 7/17/26</t>
  </si>
  <si>
    <t xml:space="preserve">S-1 on file since 12/23/25; no terms yet</t>
  </si>
  <si>
    <t xml:space="preserve">Envoy</t>
  </si>
  <si>
    <t xml:space="preserve">Nasdaq</t>
  </si>
  <si>
    <t xml:space="preserve">EVOY</t>
  </si>
  <si>
    <t xml:space="preserve">Series C post-money 01/2022 (stale)</t>
  </si>
  <si>
    <t xml:space="preserve">2025-02-11</t>
  </si>
  <si>
    <t xml:space="preserve">S-1 on file; no terms yet</t>
  </si>
  <si>
    <t xml:space="preserve">Syntiant</t>
  </si>
  <si>
    <t xml:space="preserve">H2 2026</t>
  </si>
  <si>
    <t xml:space="preserve">2026-07-06</t>
  </si>
  <si>
    <t xml:space="preserve">SEC EDGAR S-1 filed 7/6/26</t>
  </si>
  <si>
    <t xml:space="preserve">Edge-AI semiconductor co; fresh IPO S-1 with placeholder raise; Latham counsel</t>
  </si>
  <si>
    <t xml:space="preserve">Vogenx</t>
  </si>
  <si>
    <t xml:space="preserve">2026-07-15</t>
  </si>
  <si>
    <t xml:space="preserve">SEC EDGAR S-1 filed 7/15/26</t>
  </si>
  <si>
    <t xml:space="preserve">Biotech preliminary prospectus; no terms yet</t>
  </si>
  <si>
    <t xml:space="preserve">Anthropic</t>
  </si>
  <si>
    <t xml:space="preserve">October 2026</t>
  </si>
  <si>
    <t xml:space="preserve">Series H post-money 05/28/2026</t>
  </si>
  <si>
    <t xml:space="preserve">2026-06-01</t>
  </si>
  <si>
    <t xml:space="preserve">Forge pipeline 7/17/26; Bloomberg 3/27/26; banker investor mtgs reported 7/15/26</t>
  </si>
  <si>
    <t xml:space="preserve">Confidential S-1 filed 6/1/26; bankers scheduling investor meetings as of 7/15/26; potential October window</t>
  </si>
  <si>
    <t xml:space="preserve">OpenAI</t>
  </si>
  <si>
    <t xml:space="preserve">Q4 2026</t>
  </si>
  <si>
    <t xml:space="preserve">Series C post-money 03/31/2026</t>
  </si>
  <si>
    <t xml:space="preserve">2026-06-08</t>
  </si>
  <si>
    <t xml:space="preserve">Forge pipeline 7/17/26; CNBC 6/8/26; WSJ 5/20/26</t>
  </si>
  <si>
    <t xml:space="preserve">Confidential S-1 filed 6/8/26</t>
  </si>
  <si>
    <t xml:space="preserve">Kraken</t>
  </si>
  <si>
    <t xml:space="preserve">2026 (paused)</t>
  </si>
  <si>
    <t xml:space="preserve">Series D post-money 11/19/2025</t>
  </si>
  <si>
    <t xml:space="preserve">2025-11-19</t>
  </si>
  <si>
    <t xml:space="preserve">Forge pipeline 7/17/26; AccessIPOs</t>
  </si>
  <si>
    <t xml:space="preserve">Confidentially filed 11/19/25; paused IPO plans mid-March 2026 citing market conditions</t>
  </si>
  <si>
    <t xml:space="preserve">Discord</t>
  </si>
  <si>
    <t xml:space="preserve">H2 2026 (no date)</t>
  </si>
  <si>
    <t xml:space="preserve">Series I post-money 08/15/2021 (stale)</t>
  </si>
  <si>
    <t xml:space="preserve">2026-01-06</t>
  </si>
  <si>
    <t xml:space="preserve">Confidentially filed 1/6/26; widely viewed as most likely near-term large listing</t>
  </si>
  <si>
    <t xml:space="preserve">OURA</t>
  </si>
  <si>
    <t xml:space="preserve">Last known valuation</t>
  </si>
  <si>
    <t xml:space="preserve">2026-05-21</t>
  </si>
  <si>
    <t xml:space="preserve">Confidentially filed 5/21/26</t>
  </si>
  <si>
    <t xml:space="preserve">Blockchain.com</t>
  </si>
  <si>
    <t xml:space="preserve">Strava</t>
  </si>
  <si>
    <t xml:space="preserve">Series F-1 post-money 05/22/2025</t>
  </si>
  <si>
    <t xml:space="preserve">Confidentially filed 1/8/26</t>
  </si>
  <si>
    <t xml:space="preserve">Databricks</t>
  </si>
  <si>
    <t xml:space="preserve">H2 2026 expected filing</t>
  </si>
  <si>
    <t xml:space="preserve">Private valuation per ValueAddVC 7/26</t>
  </si>
  <si>
    <t xml:space="preserve">ValueAddVC 7/14/26; Forge Databricks article 7/10/26</t>
  </si>
  <si>
    <t xml:space="preserve">Expected to file S-1 in H2 2026; board has low urgency; slip risk to 2027</t>
  </si>
  <si>
    <t xml:space="preserve">Consensys</t>
  </si>
  <si>
    <t xml:space="preserve">Fall 2026</t>
  </si>
  <si>
    <t xml:space="preserve">Series D post-money 03/2022 (stale)</t>
  </si>
  <si>
    <t xml:space="preserve">Forge pipeline 7/17/26; Yahoo Finance 5/14/26</t>
  </si>
  <si>
    <t xml:space="preserve">IPO mentioned 5/14/26; previously delayed</t>
  </si>
  <si>
    <t xml:space="preserve">Lambda</t>
  </si>
  <si>
    <t xml:space="preserve">Series E-3 post-money 11/18/2025</t>
  </si>
  <si>
    <t xml:space="preserve">Forge pipeline 7/17/26; The Information 1/8/26</t>
  </si>
  <si>
    <t xml:space="preserve">Reportedly plans H2 2026 listing; raised $350M pre-IPO round</t>
  </si>
  <si>
    <t xml:space="preserve">Anduril</t>
  </si>
  <si>
    <t xml:space="preserve">Pending a16z/Thrive round (reported)</t>
  </si>
  <si>
    <t xml:space="preserve">US News 6/8/26</t>
  </si>
  <si>
    <t xml:space="preserve">CEO states company will go public; new private round may push valuation above $60B; no filing</t>
  </si>
  <si>
    <t xml:space="preserve">Stripe</t>
  </si>
  <si>
    <t xml:space="preserve">No timeline</t>
  </si>
  <si>
    <t xml:space="preserve">ValueAddVC 7/14/26</t>
  </si>
  <si>
    <t xml:space="preserve">Waiting for window; no filing reported</t>
  </si>
  <si>
    <t xml:space="preserve">Canva</t>
  </si>
  <si>
    <t xml:space="preserve">Plaid</t>
  </si>
  <si>
    <t xml:space="preserve">ValueAddVC 7/14/26; WSJ 3/26 CEO quote</t>
  </si>
  <si>
    <t xml:space="preserve">CEO: "We'll pick our time" (March 2026); no filing reported</t>
  </si>
  <si>
    <t xml:space="preserve">Brex</t>
  </si>
  <si>
    <t xml:space="preserve">Clear Street</t>
  </si>
  <si>
    <t xml:space="preserve">IPO withdrawn 2/12/26</t>
  </si>
  <si>
    <t xml:space="preserve">Status</t>
  </si>
  <si>
    <t xml:space="preserve">Key Date</t>
  </si>
  <si>
    <t xml:space="preserve">Offer/Target Window</t>
  </si>
  <si>
    <t xml:space="preserve">Raise ($mm)</t>
  </si>
  <si>
    <t xml:space="preserve">Valuation ($mm)</t>
  </si>
  <si>
    <t xml:space="preserve">Current market cap (Bloomberg)</t>
  </si>
  <si>
    <t xml:space="preserve">Bloomberg BEQS IPO_THIS_YEAR</t>
  </si>
  <si>
    <t xml:space="preserve">Run Date</t>
  </si>
  <si>
    <t xml:space="preserve">Change Type</t>
  </si>
  <si>
    <t xml:space="preserve">Detail</t>
  </si>
  <si>
    <t xml:space="preserve">Initial run</t>
  </si>
  <si>
    <t xml:space="preserve">ALL</t>
  </si>
  <si>
    <t xml:space="preserve">105 priced 2026 names loaded from Bloomberg; 20 pipeline/withdrawn names loaded.</t>
  </si>
  <si>
    <t xml:space="preserve">Watch</t>
  </si>
  <si>
    <t xml:space="preserve">Bankers scheduling investor meetings as of 7/15/26; potential October window. Public S-1 flip would move it to Tier B.</t>
  </si>
  <si>
    <t xml:space="preserve">Confidential filing 6/8/26; Q4 2026 target per WSJ/CNBC.</t>
  </si>
  <si>
    <t xml:space="preserve">Filed 11/19/25 but paused mid-March; reactivation would be a stage change.</t>
  </si>
  <si>
    <t xml:space="preserve">New filing</t>
  </si>
  <si>
    <t xml:space="preserve">Fresh IPO S-1 on EDGAR 7/6/26.</t>
  </si>
  <si>
    <t xml:space="preserve">Fresh IPO S-1 on EDGAR 7/15/26.</t>
  </si>
  <si>
    <t xml:space="preserve">Market note</t>
  </si>
  <si>
    <t xml:space="preserve">—</t>
  </si>
  <si>
    <t xml:space="preserve">Scheduled calendar empty (Renaissance, w/o 7/13): summer lull; dates rarely set &gt;7-10 days ahead.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</si>
</sst>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.0"/>
    <numFmt numFmtId="167" formatCode="\$#,##0"/>
    <numFmt numFmtId="168" formatCode="0.0%"/>
    <numFmt numFmtId="169" formatCode="\$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1" t="s">
        <v>2</v>
      </c>
      <c r="B4" s="2"/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10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1" t="s">
        <v>11</v>
      </c>
      <c r="B10" s="2"/>
    </row>
    <row r="11" customFormat="false" ht="15" hidden="false" customHeight="false" outlineLevel="0" collapsed="false">
      <c r="A11" s="2" t="s">
        <v>12</v>
      </c>
      <c r="B11" s="2" t="s">
        <v>13</v>
      </c>
    </row>
    <row r="12" customFormat="false" ht="15" hidden="false" customHeight="false" outlineLevel="0" collapsed="false">
      <c r="A12" s="2" t="s">
        <v>14</v>
      </c>
      <c r="B12" s="2" t="s">
        <v>15</v>
      </c>
    </row>
    <row r="13" customFormat="false" ht="15" hidden="false" customHeight="false" outlineLevel="0" collapsed="false">
      <c r="A13" s="2" t="s">
        <v>16</v>
      </c>
      <c r="B13" s="2" t="s">
        <v>17</v>
      </c>
    </row>
    <row r="14" customFormat="false" ht="15" hidden="false" customHeight="false" outlineLevel="0" collapsed="false">
      <c r="A14" s="2" t="s">
        <v>18</v>
      </c>
      <c r="B14" s="2" t="s">
        <v>19</v>
      </c>
    </row>
    <row r="15" customFormat="false" ht="15" hidden="false" customHeight="false" outlineLevel="0" collapsed="false">
      <c r="A15" s="2" t="s">
        <v>20</v>
      </c>
      <c r="B15" s="2" t="s">
        <v>21</v>
      </c>
    </row>
    <row r="16" customFormat="false" ht="15" hidden="false" customHeight="false" outlineLevel="0" collapsed="false">
      <c r="A16" s="2" t="s">
        <v>22</v>
      </c>
      <c r="B16" s="2" t="s">
        <v>23</v>
      </c>
    </row>
    <row r="17" customFormat="false" ht="15" hidden="false" customHeight="false" outlineLevel="0" collapsed="false">
      <c r="A17" s="2" t="s">
        <v>24</v>
      </c>
      <c r="B17" s="2" t="s">
        <v>25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1" t="s">
        <v>26</v>
      </c>
      <c r="B19" s="2"/>
    </row>
    <row r="20" customFormat="false" ht="15" hidden="false" customHeight="false" outlineLevel="0" collapsed="false">
      <c r="A20" s="2" t="s">
        <v>27</v>
      </c>
      <c r="B20" s="2" t="s">
        <v>28</v>
      </c>
    </row>
    <row r="21" customFormat="false" ht="15" hidden="false" customHeight="false" outlineLevel="0" collapsed="false">
      <c r="A21" s="2" t="s">
        <v>29</v>
      </c>
      <c r="B21" s="2" t="s">
        <v>30</v>
      </c>
    </row>
    <row r="22" customFormat="false" ht="15" hidden="false" customHeight="false" outlineLevel="0" collapsed="false">
      <c r="A22" s="2" t="s">
        <v>31</v>
      </c>
      <c r="B22" s="2" t="s">
        <v>32</v>
      </c>
    </row>
    <row r="23" customFormat="false" ht="15" hidden="false" customHeight="false" outlineLevel="0" collapsed="false">
      <c r="A23" s="2" t="s">
        <v>33</v>
      </c>
      <c r="B23" s="2" t="s">
        <v>34</v>
      </c>
    </row>
    <row r="24" customFormat="false" ht="15" hidden="false" customHeight="false" outlineLevel="0" collapsed="false">
      <c r="A24" s="2"/>
      <c r="B24" s="2"/>
    </row>
    <row r="25" customFormat="false" ht="15" hidden="false" customHeight="false" outlineLevel="0" collapsed="false">
      <c r="A25" s="1" t="s">
        <v>35</v>
      </c>
      <c r="B25" s="2"/>
    </row>
    <row r="26" customFormat="false" ht="15" hidden="false" customHeight="false" outlineLevel="0" collapsed="false">
      <c r="A26" s="2" t="s">
        <v>36</v>
      </c>
      <c r="B26" s="2" t="s">
        <v>37</v>
      </c>
    </row>
    <row r="27" customFormat="false" ht="15" hidden="false" customHeight="false" outlineLevel="0" collapsed="false">
      <c r="A27" s="2" t="s">
        <v>38</v>
      </c>
      <c r="B27" s="2" t="s">
        <v>39</v>
      </c>
    </row>
    <row r="28" customFormat="false" ht="15" hidden="false" customHeight="false" outlineLevel="0" collapsed="false">
      <c r="A28" s="2" t="s">
        <v>40</v>
      </c>
      <c r="B28" s="2" t="s">
        <v>41</v>
      </c>
    </row>
    <row r="29" customFormat="false" ht="15" hidden="false" customHeight="false" outlineLevel="0" collapsed="false">
      <c r="A29" s="2" t="s">
        <v>42</v>
      </c>
      <c r="B29" s="2" t="s">
        <v>43</v>
      </c>
    </row>
    <row r="30" customFormat="false" ht="15" hidden="false" customHeight="false" outlineLevel="0" collapsed="false">
      <c r="A30" s="2" t="s">
        <v>44</v>
      </c>
      <c r="B30" s="2" t="s">
        <v>45</v>
      </c>
    </row>
    <row r="31" customFormat="false" ht="15" hidden="false" customHeight="false" outlineLevel="0" collapsed="false">
      <c r="A31" s="2"/>
      <c r="B31" s="2"/>
    </row>
    <row r="32" customFormat="false" ht="15" hidden="false" customHeight="false" outlineLevel="0" collapsed="false">
      <c r="A32" s="1" t="s">
        <v>46</v>
      </c>
      <c r="B32" s="2"/>
    </row>
    <row r="33" customFormat="false" ht="15" hidden="false" customHeight="false" outlineLevel="0" collapsed="false">
      <c r="A33" s="2" t="s">
        <v>47</v>
      </c>
      <c r="B33" s="2" t="s">
        <v>48</v>
      </c>
    </row>
    <row r="34" customFormat="false" ht="15" hidden="false" customHeight="false" outlineLevel="0" collapsed="false">
      <c r="A34" s="2" t="s">
        <v>49</v>
      </c>
      <c r="B34" s="2" t="s">
        <v>50</v>
      </c>
    </row>
    <row r="35" customFormat="false" ht="15" hidden="false" customHeight="false" outlineLevel="0" collapsed="false">
      <c r="A35" s="2" t="s">
        <v>51</v>
      </c>
      <c r="B35" s="2" t="s">
        <v>52</v>
      </c>
    </row>
    <row r="36" customFormat="false" ht="15" hidden="false" customHeight="false" outlineLevel="0" collapsed="false">
      <c r="A36" s="2" t="s">
        <v>53</v>
      </c>
      <c r="B36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1"/>
  </cols>
  <sheetData>
    <row r="1" customFormat="false" ht="35.05" hidden="false" customHeight="false" outlineLevel="0" collapsed="false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</row>
    <row r="2" customFormat="false" ht="15" hidden="false" customHeight="false" outlineLevel="0" collapsed="false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4" t="n">
        <v>7.5</v>
      </c>
      <c r="G2" s="5" t="n">
        <v>2.66667</v>
      </c>
      <c r="H2" s="6" t="n">
        <f aca="false">F2*G2</f>
        <v>20.000025</v>
      </c>
      <c r="I2" s="4" t="n">
        <v>9.75</v>
      </c>
      <c r="J2" s="6" t="n">
        <v>122.525</v>
      </c>
      <c r="K2" s="7" t="n">
        <v>0.6</v>
      </c>
      <c r="L2" s="7" t="n">
        <v>0.3</v>
      </c>
    </row>
    <row r="3" customFormat="false" ht="15" hidden="false" customHeight="false" outlineLevel="0" collapsed="false">
      <c r="A3" s="2" t="s">
        <v>72</v>
      </c>
      <c r="B3" s="2" t="s">
        <v>73</v>
      </c>
      <c r="C3" s="2" t="s">
        <v>74</v>
      </c>
      <c r="D3" s="2" t="s">
        <v>70</v>
      </c>
      <c r="E3" s="2" t="s">
        <v>75</v>
      </c>
      <c r="F3" s="4" t="n">
        <v>18</v>
      </c>
      <c r="G3" s="5" t="n">
        <v>17.65</v>
      </c>
      <c r="H3" s="6" t="n">
        <f aca="false">F3*G3</f>
        <v>317.7</v>
      </c>
      <c r="I3" s="4" t="n">
        <v>23.96</v>
      </c>
      <c r="J3" s="6" t="n">
        <v>1279.57</v>
      </c>
      <c r="K3" s="7" t="n">
        <v>0.5</v>
      </c>
      <c r="L3" s="7" t="n">
        <v>0.331111</v>
      </c>
    </row>
    <row r="4" customFormat="false" ht="15" hidden="false" customHeight="false" outlineLevel="0" collapsed="false">
      <c r="A4" s="2" t="s">
        <v>76</v>
      </c>
      <c r="B4" s="2" t="s">
        <v>77</v>
      </c>
      <c r="C4" s="2" t="s">
        <v>78</v>
      </c>
      <c r="D4" s="2" t="s">
        <v>70</v>
      </c>
      <c r="E4" s="2" t="s">
        <v>79</v>
      </c>
      <c r="F4" s="4" t="n">
        <v>4</v>
      </c>
      <c r="G4" s="5" t="n">
        <v>2.5</v>
      </c>
      <c r="H4" s="6" t="n">
        <f aca="false">F4*G4</f>
        <v>10</v>
      </c>
      <c r="I4" s="4" t="n">
        <v>0.475</v>
      </c>
      <c r="J4" s="6" t="n">
        <v>6.11562</v>
      </c>
      <c r="K4" s="7" t="n">
        <v>0.075</v>
      </c>
      <c r="L4" s="7" t="n">
        <v>-0.88125</v>
      </c>
    </row>
    <row r="5" customFormat="false" ht="15" hidden="false" customHeight="false" outlineLevel="0" collapsed="false">
      <c r="A5" s="2" t="s">
        <v>80</v>
      </c>
      <c r="B5" s="2" t="s">
        <v>81</v>
      </c>
      <c r="C5" s="2" t="s">
        <v>82</v>
      </c>
      <c r="D5" s="2" t="s">
        <v>70</v>
      </c>
      <c r="E5" s="2" t="s">
        <v>83</v>
      </c>
      <c r="F5" s="4" t="n">
        <v>18</v>
      </c>
      <c r="G5" s="5" t="n">
        <v>11.8216</v>
      </c>
      <c r="H5" s="6" t="n">
        <f aca="false">F5*G5</f>
        <v>212.7888</v>
      </c>
      <c r="I5" s="4" t="n">
        <v>5.06</v>
      </c>
      <c r="J5" s="6" t="n">
        <v>586.755</v>
      </c>
      <c r="K5" s="7" t="n">
        <v>0.246111</v>
      </c>
      <c r="L5" s="7" t="n">
        <v>-0.718889</v>
      </c>
    </row>
    <row r="6" customFormat="false" ht="15" hidden="false" customHeight="false" outlineLevel="0" collapsed="false">
      <c r="A6" s="2" t="s">
        <v>84</v>
      </c>
      <c r="B6" s="2" t="s">
        <v>85</v>
      </c>
      <c r="C6" s="2" t="s">
        <v>86</v>
      </c>
      <c r="D6" s="2" t="s">
        <v>70</v>
      </c>
      <c r="E6" s="2" t="s">
        <v>79</v>
      </c>
      <c r="F6" s="4" t="n">
        <v>24.5</v>
      </c>
      <c r="G6" s="5" t="n">
        <v>30.5</v>
      </c>
      <c r="H6" s="6" t="n">
        <f aca="false">F6*G6</f>
        <v>747.25</v>
      </c>
      <c r="I6" s="4" t="n">
        <v>16.06</v>
      </c>
      <c r="J6" s="6" t="n">
        <v>4053.14</v>
      </c>
      <c r="K6" s="7" t="n">
        <v>0.163265</v>
      </c>
      <c r="L6" s="7" t="n">
        <v>-0.34449</v>
      </c>
    </row>
    <row r="7" customFormat="false" ht="15" hidden="false" customHeight="false" outlineLevel="0" collapsed="false">
      <c r="A7" s="2" t="s">
        <v>87</v>
      </c>
      <c r="B7" s="2" t="s">
        <v>88</v>
      </c>
      <c r="C7" s="2" t="s">
        <v>86</v>
      </c>
      <c r="D7" s="2" t="s">
        <v>89</v>
      </c>
      <c r="E7" s="2"/>
      <c r="F7" s="4" t="n">
        <v>10</v>
      </c>
      <c r="G7" s="5" t="n">
        <v>15</v>
      </c>
      <c r="H7" s="6" t="n">
        <f aca="false">F7*G7</f>
        <v>150</v>
      </c>
      <c r="I7" s="4" t="n">
        <v>10.56</v>
      </c>
      <c r="J7" s="6" t="n">
        <v>227.014</v>
      </c>
      <c r="K7" s="7" t="n">
        <v>0.024</v>
      </c>
      <c r="L7" s="7" t="n">
        <v>0.056</v>
      </c>
    </row>
    <row r="8" customFormat="false" ht="15" hidden="false" customHeight="false" outlineLevel="0" collapsed="false">
      <c r="A8" s="2" t="s">
        <v>90</v>
      </c>
      <c r="B8" s="2" t="s">
        <v>91</v>
      </c>
      <c r="C8" s="2" t="s">
        <v>92</v>
      </c>
      <c r="D8" s="2" t="s">
        <v>70</v>
      </c>
      <c r="E8" s="2" t="s">
        <v>83</v>
      </c>
      <c r="F8" s="4" t="n">
        <v>19</v>
      </c>
      <c r="G8" s="5" t="n">
        <v>22.8571</v>
      </c>
      <c r="H8" s="6" t="n">
        <f aca="false">F8*G8</f>
        <v>434.2849</v>
      </c>
      <c r="I8" s="4" t="n">
        <v>11.7</v>
      </c>
      <c r="J8" s="6" t="n">
        <v>1516.17</v>
      </c>
      <c r="K8" s="7" t="n">
        <v>0.0263158</v>
      </c>
      <c r="L8" s="7" t="n">
        <v>-0.384211</v>
      </c>
    </row>
    <row r="9" customFormat="false" ht="15" hidden="false" customHeight="false" outlineLevel="0" collapsed="false">
      <c r="A9" s="2" t="s">
        <v>93</v>
      </c>
      <c r="B9" s="2" t="s">
        <v>94</v>
      </c>
      <c r="C9" s="2" t="s">
        <v>92</v>
      </c>
      <c r="D9" s="2" t="s">
        <v>70</v>
      </c>
      <c r="E9" s="2" t="s">
        <v>83</v>
      </c>
      <c r="F9" s="4" t="n">
        <v>19</v>
      </c>
      <c r="G9" s="5" t="n">
        <v>10.5263</v>
      </c>
      <c r="H9" s="6" t="n">
        <f aca="false">F9*G9</f>
        <v>199.9997</v>
      </c>
      <c r="I9" s="4" t="n">
        <v>18.5</v>
      </c>
      <c r="J9" s="6" t="n">
        <v>1167.83</v>
      </c>
      <c r="K9" s="7" t="n">
        <v>0</v>
      </c>
      <c r="L9" s="7" t="n">
        <v>-0.0263158</v>
      </c>
    </row>
    <row r="10" customFormat="false" ht="15" hidden="false" customHeight="false" outlineLevel="0" collapsed="false">
      <c r="A10" s="2" t="s">
        <v>95</v>
      </c>
      <c r="B10" s="2" t="s">
        <v>96</v>
      </c>
      <c r="C10" s="2" t="s">
        <v>92</v>
      </c>
      <c r="D10" s="2" t="s">
        <v>70</v>
      </c>
      <c r="E10" s="2" t="s">
        <v>79</v>
      </c>
      <c r="F10" s="4" t="n">
        <v>34</v>
      </c>
      <c r="G10" s="5" t="n">
        <v>18.5</v>
      </c>
      <c r="H10" s="6" t="n">
        <f aca="false">F10*G10</f>
        <v>629</v>
      </c>
      <c r="I10" s="4" t="n">
        <v>17.42</v>
      </c>
      <c r="J10" s="6" t="n">
        <v>2288.95</v>
      </c>
      <c r="K10" s="7" t="n">
        <v>0.117647</v>
      </c>
      <c r="L10" s="7" t="n">
        <v>-0.487647</v>
      </c>
    </row>
    <row r="11" customFormat="false" ht="15" hidden="false" customHeight="false" outlineLevel="0" collapsed="false">
      <c r="A11" s="2" t="s">
        <v>97</v>
      </c>
      <c r="B11" s="2" t="s">
        <v>98</v>
      </c>
      <c r="C11" s="2" t="s">
        <v>99</v>
      </c>
      <c r="D11" s="2" t="s">
        <v>70</v>
      </c>
      <c r="E11" s="2" t="s">
        <v>75</v>
      </c>
      <c r="F11" s="4" t="n">
        <v>17</v>
      </c>
      <c r="G11" s="5" t="n">
        <v>15.0776</v>
      </c>
      <c r="H11" s="6" t="n">
        <f aca="false">F11*G11</f>
        <v>256.3192</v>
      </c>
      <c r="I11" s="4" t="n">
        <v>106.04</v>
      </c>
      <c r="J11" s="6" t="n">
        <v>4428.21</v>
      </c>
      <c r="K11" s="7" t="n">
        <v>1</v>
      </c>
      <c r="L11" s="7" t="n">
        <v>5.23765</v>
      </c>
    </row>
    <row r="12" customFormat="false" ht="15" hidden="false" customHeight="false" outlineLevel="0" collapsed="false">
      <c r="A12" s="2" t="s">
        <v>100</v>
      </c>
      <c r="B12" s="2" t="s">
        <v>101</v>
      </c>
      <c r="C12" s="2" t="s">
        <v>102</v>
      </c>
      <c r="D12" s="2" t="s">
        <v>70</v>
      </c>
      <c r="E12" s="2" t="s">
        <v>75</v>
      </c>
      <c r="F12" s="4" t="n">
        <v>18</v>
      </c>
      <c r="G12" s="5" t="n">
        <v>21.1776</v>
      </c>
      <c r="H12" s="6" t="n">
        <f aca="false">F12*G12</f>
        <v>381.1968</v>
      </c>
      <c r="I12" s="4" t="n">
        <v>9.65</v>
      </c>
      <c r="J12" s="6" t="n">
        <v>522.438</v>
      </c>
      <c r="K12" s="7" t="n">
        <v>-0.0527778</v>
      </c>
      <c r="L12" s="7" t="n">
        <v>-0.463889</v>
      </c>
    </row>
    <row r="13" customFormat="false" ht="15" hidden="false" customHeight="false" outlineLevel="0" collapsed="false">
      <c r="A13" s="2" t="s">
        <v>103</v>
      </c>
      <c r="B13" s="2" t="s">
        <v>104</v>
      </c>
      <c r="C13" s="2" t="s">
        <v>102</v>
      </c>
      <c r="D13" s="2" t="s">
        <v>70</v>
      </c>
      <c r="E13" s="2" t="s">
        <v>79</v>
      </c>
      <c r="F13" s="4" t="n">
        <v>27</v>
      </c>
      <c r="G13" s="5" t="n">
        <v>56</v>
      </c>
      <c r="H13" s="6" t="n">
        <f aca="false">F13*G13</f>
        <v>1512</v>
      </c>
      <c r="I13" s="4" t="n">
        <v>38.5</v>
      </c>
      <c r="J13" s="6" t="n">
        <v>11720.5</v>
      </c>
      <c r="K13" s="7" t="n">
        <v>-0.037037</v>
      </c>
      <c r="L13" s="7" t="n">
        <v>0.425926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2" t="s">
        <v>102</v>
      </c>
      <c r="D14" s="2" t="s">
        <v>89</v>
      </c>
      <c r="E14" s="2"/>
      <c r="F14" s="4" t="n">
        <v>10</v>
      </c>
      <c r="G14" s="5" t="n">
        <v>10</v>
      </c>
      <c r="H14" s="6" t="n">
        <f aca="false">F14*G14</f>
        <v>100</v>
      </c>
      <c r="I14" s="4" t="n">
        <v>10.42</v>
      </c>
      <c r="J14" s="6" t="n">
        <v>152.914</v>
      </c>
      <c r="K14" s="7" t="n">
        <v>0.013</v>
      </c>
      <c r="L14" s="7" t="n">
        <v>0.042</v>
      </c>
    </row>
    <row r="15" customFormat="false" ht="15" hidden="false" customHeight="false" outlineLevel="0" collapsed="false">
      <c r="A15" s="2" t="s">
        <v>107</v>
      </c>
      <c r="B15" s="2" t="s">
        <v>108</v>
      </c>
      <c r="C15" s="2" t="s">
        <v>102</v>
      </c>
      <c r="D15" s="2" t="s">
        <v>70</v>
      </c>
      <c r="E15" s="2" t="s">
        <v>109</v>
      </c>
      <c r="F15" s="4" t="n">
        <v>17</v>
      </c>
      <c r="G15" s="5" t="n">
        <v>19.45</v>
      </c>
      <c r="H15" s="6" t="n">
        <f aca="false">F15*G15</f>
        <v>330.65</v>
      </c>
      <c r="I15" s="4" t="n">
        <v>16.37</v>
      </c>
      <c r="J15" s="6" t="n">
        <v>2138.37</v>
      </c>
      <c r="K15" s="7" t="n">
        <v>0</v>
      </c>
      <c r="L15" s="7" t="n">
        <v>-0.0370588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2" t="s">
        <v>112</v>
      </c>
      <c r="D16" s="2" t="s">
        <v>70</v>
      </c>
      <c r="E16" s="2" t="s">
        <v>71</v>
      </c>
      <c r="F16" s="4" t="n">
        <v>18</v>
      </c>
      <c r="G16" s="5" t="n">
        <v>10.9972</v>
      </c>
      <c r="H16" s="6" t="n">
        <f aca="false">F16*G16</f>
        <v>197.9496</v>
      </c>
      <c r="I16" s="4" t="n">
        <v>16.32</v>
      </c>
      <c r="J16" s="6" t="n">
        <v>683.841</v>
      </c>
      <c r="K16" s="7" t="n">
        <v>0.166667</v>
      </c>
      <c r="L16" s="7" t="n">
        <v>-0.0933333</v>
      </c>
    </row>
    <row r="17" customFormat="false" ht="15" hidden="false" customHeight="false" outlineLevel="0" collapsed="false">
      <c r="A17" s="2" t="s">
        <v>113</v>
      </c>
      <c r="B17" s="2" t="s">
        <v>114</v>
      </c>
      <c r="C17" s="2" t="s">
        <v>112</v>
      </c>
      <c r="D17" s="2" t="s">
        <v>70</v>
      </c>
      <c r="E17" s="2" t="s">
        <v>75</v>
      </c>
      <c r="F17" s="4" t="n">
        <v>16</v>
      </c>
      <c r="G17" s="5" t="n">
        <v>9.375</v>
      </c>
      <c r="H17" s="6" t="n">
        <f aca="false">F17*G17</f>
        <v>150</v>
      </c>
      <c r="I17" s="4" t="n">
        <v>20.02</v>
      </c>
      <c r="J17" s="6" t="n">
        <v>669.336</v>
      </c>
      <c r="K17" s="7" t="n">
        <v>0.5</v>
      </c>
      <c r="L17" s="7" t="n">
        <v>0.25125</v>
      </c>
    </row>
    <row r="18" customFormat="false" ht="15" hidden="false" customHeight="false" outlineLevel="0" collapsed="false">
      <c r="A18" s="2" t="s">
        <v>115</v>
      </c>
      <c r="B18" s="2" t="s">
        <v>116</v>
      </c>
      <c r="C18" s="2" t="s">
        <v>117</v>
      </c>
      <c r="D18" s="2" t="s">
        <v>70</v>
      </c>
      <c r="E18" s="2" t="s">
        <v>118</v>
      </c>
      <c r="F18" s="4" t="n">
        <v>4</v>
      </c>
      <c r="G18" s="5" t="n">
        <v>6.25</v>
      </c>
      <c r="H18" s="6" t="n">
        <f aca="false">F18*G18</f>
        <v>25</v>
      </c>
      <c r="I18" s="4" t="n">
        <v>1.7</v>
      </c>
      <c r="J18" s="6" t="n">
        <v>34.3294</v>
      </c>
      <c r="K18" s="7" t="n">
        <v>0.25</v>
      </c>
      <c r="L18" s="7" t="n">
        <v>-0.575</v>
      </c>
    </row>
    <row r="19" customFormat="false" ht="15" hidden="false" customHeight="false" outlineLevel="0" collapsed="false">
      <c r="A19" s="2" t="s">
        <v>119</v>
      </c>
      <c r="B19" s="2" t="s">
        <v>120</v>
      </c>
      <c r="C19" s="2" t="s">
        <v>121</v>
      </c>
      <c r="D19" s="2" t="s">
        <v>70</v>
      </c>
      <c r="E19" s="2" t="s">
        <v>79</v>
      </c>
      <c r="F19" s="4" t="n">
        <v>25</v>
      </c>
      <c r="G19" s="5" t="n">
        <v>20.5</v>
      </c>
      <c r="H19" s="6" t="n">
        <f aca="false">F19*G19</f>
        <v>512.5</v>
      </c>
      <c r="I19" s="4" t="n">
        <v>27.98</v>
      </c>
      <c r="J19" s="6" t="n">
        <v>5662.92</v>
      </c>
      <c r="L19" s="7" t="n">
        <v>0.1192</v>
      </c>
    </row>
    <row r="20" customFormat="false" ht="15" hidden="false" customHeight="false" outlineLevel="0" collapsed="false">
      <c r="A20" s="2" t="s">
        <v>122</v>
      </c>
      <c r="B20" s="2" t="s">
        <v>123</v>
      </c>
      <c r="C20" s="2" t="s">
        <v>121</v>
      </c>
      <c r="D20" s="2" t="s">
        <v>70</v>
      </c>
      <c r="E20" s="2" t="s">
        <v>83</v>
      </c>
      <c r="F20" s="4" t="n">
        <v>12</v>
      </c>
      <c r="G20" s="5" t="n">
        <v>20</v>
      </c>
      <c r="H20" s="6" t="n">
        <f aca="false">F20*G20</f>
        <v>240</v>
      </c>
      <c r="I20" s="4" t="n">
        <v>6.63</v>
      </c>
      <c r="J20" s="6" t="n">
        <v>1060.34</v>
      </c>
      <c r="K20" s="7" t="n">
        <v>-0.0833333</v>
      </c>
      <c r="L20" s="7" t="n">
        <v>-0.4475</v>
      </c>
    </row>
    <row r="21" customFormat="false" ht="15" hidden="false" customHeight="false" outlineLevel="0" collapsed="false">
      <c r="A21" s="2" t="s">
        <v>124</v>
      </c>
      <c r="B21" s="2" t="s">
        <v>125</v>
      </c>
      <c r="C21" s="2" t="s">
        <v>126</v>
      </c>
      <c r="D21" s="2" t="s">
        <v>70</v>
      </c>
      <c r="E21" s="2" t="s">
        <v>109</v>
      </c>
      <c r="F21" s="4" t="n">
        <v>18</v>
      </c>
      <c r="G21" s="5" t="n">
        <v>11.1111</v>
      </c>
      <c r="H21" s="6" t="n">
        <f aca="false">F21*G21</f>
        <v>199.9998</v>
      </c>
      <c r="I21" s="4" t="n">
        <v>20.75</v>
      </c>
      <c r="J21" s="6" t="n">
        <v>987.082</v>
      </c>
      <c r="K21" s="7" t="n">
        <v>-0.0138889</v>
      </c>
      <c r="L21" s="7" t="n">
        <v>0.152778</v>
      </c>
    </row>
    <row r="22" customFormat="false" ht="15" hidden="false" customHeight="false" outlineLevel="0" collapsed="false">
      <c r="A22" s="2" t="s">
        <v>127</v>
      </c>
      <c r="B22" s="2" t="s">
        <v>128</v>
      </c>
      <c r="C22" s="2" t="s">
        <v>129</v>
      </c>
      <c r="D22" s="2" t="s">
        <v>70</v>
      </c>
      <c r="E22" s="2" t="s">
        <v>130</v>
      </c>
      <c r="F22" s="4" t="n">
        <v>30</v>
      </c>
      <c r="G22" s="5" t="n">
        <v>4.16667</v>
      </c>
      <c r="H22" s="6" t="n">
        <f aca="false">F22*G22</f>
        <v>125.0001</v>
      </c>
      <c r="I22" s="4" t="n">
        <v>62.34</v>
      </c>
      <c r="J22" s="6" t="n">
        <v>2207.15</v>
      </c>
      <c r="L22" s="7" t="n">
        <v>1.078</v>
      </c>
    </row>
    <row r="23" customFormat="false" ht="15" hidden="false" customHeight="false" outlineLevel="0" collapsed="false">
      <c r="A23" s="2" t="s">
        <v>131</v>
      </c>
      <c r="B23" s="2" t="s">
        <v>132</v>
      </c>
      <c r="C23" s="2" t="s">
        <v>133</v>
      </c>
      <c r="D23" s="2" t="s">
        <v>70</v>
      </c>
      <c r="E23" s="2" t="s">
        <v>79</v>
      </c>
      <c r="F23" s="4" t="n">
        <v>4</v>
      </c>
      <c r="G23" s="5" t="n">
        <v>3.1</v>
      </c>
      <c r="H23" s="6" t="n">
        <f aca="false">F23*G23</f>
        <v>12.4</v>
      </c>
      <c r="I23" s="4" t="n">
        <v>3.145</v>
      </c>
      <c r="J23" s="6" t="n">
        <v>22.3219</v>
      </c>
      <c r="L23" s="7" t="n">
        <v>-0.21375</v>
      </c>
    </row>
    <row r="24" customFormat="false" ht="15" hidden="false" customHeight="false" outlineLevel="0" collapsed="false">
      <c r="A24" s="2" t="s">
        <v>134</v>
      </c>
      <c r="B24" s="2" t="s">
        <v>135</v>
      </c>
      <c r="C24" s="2" t="s">
        <v>133</v>
      </c>
      <c r="D24" s="2" t="s">
        <v>70</v>
      </c>
      <c r="E24" s="2" t="s">
        <v>130</v>
      </c>
      <c r="F24" s="4" t="n">
        <v>6</v>
      </c>
      <c r="G24" s="5" t="n">
        <v>4</v>
      </c>
      <c r="H24" s="6" t="n">
        <f aca="false">F24*G24</f>
        <v>24</v>
      </c>
      <c r="I24" s="4" t="n">
        <v>4.93</v>
      </c>
      <c r="J24" s="6" t="n">
        <v>93.7767</v>
      </c>
      <c r="K24" s="7" t="n">
        <v>0.05</v>
      </c>
      <c r="L24" s="7" t="n">
        <v>-0.178333</v>
      </c>
    </row>
    <row r="25" customFormat="false" ht="15" hidden="false" customHeight="false" outlineLevel="0" collapsed="false">
      <c r="A25" s="2" t="s">
        <v>136</v>
      </c>
      <c r="B25" s="2" t="s">
        <v>137</v>
      </c>
      <c r="C25" s="2" t="s">
        <v>138</v>
      </c>
      <c r="D25" s="2" t="s">
        <v>89</v>
      </c>
      <c r="E25" s="2"/>
      <c r="F25" s="4" t="n">
        <v>10</v>
      </c>
      <c r="G25" s="5" t="n">
        <v>25</v>
      </c>
      <c r="H25" s="6" t="n">
        <f aca="false">F25*G25</f>
        <v>250</v>
      </c>
      <c r="I25" s="4" t="n">
        <v>10.12</v>
      </c>
      <c r="J25" s="6" t="n">
        <v>365.712</v>
      </c>
      <c r="K25" s="7" t="n">
        <v>0</v>
      </c>
      <c r="L25" s="7" t="n">
        <v>0.012</v>
      </c>
    </row>
    <row r="26" customFormat="false" ht="15" hidden="false" customHeight="false" outlineLevel="0" collapsed="false">
      <c r="A26" s="2" t="s">
        <v>139</v>
      </c>
      <c r="B26" s="2" t="s">
        <v>140</v>
      </c>
      <c r="C26" s="2" t="s">
        <v>141</v>
      </c>
      <c r="D26" s="2" t="s">
        <v>70</v>
      </c>
      <c r="E26" s="2" t="s">
        <v>75</v>
      </c>
      <c r="F26" s="4" t="n">
        <v>16</v>
      </c>
      <c r="G26" s="5" t="n">
        <v>25</v>
      </c>
      <c r="H26" s="6" t="n">
        <f aca="false">F26*G26</f>
        <v>400</v>
      </c>
      <c r="I26" s="4" t="n">
        <v>13.58</v>
      </c>
      <c r="J26" s="6" t="n">
        <v>1740.85</v>
      </c>
      <c r="K26" s="7" t="n">
        <v>-0.0625</v>
      </c>
      <c r="L26" s="7" t="n">
        <v>-0.15125</v>
      </c>
    </row>
    <row r="27" customFormat="false" ht="15" hidden="false" customHeight="false" outlineLevel="0" collapsed="false">
      <c r="A27" s="2" t="s">
        <v>142</v>
      </c>
      <c r="B27" s="2" t="s">
        <v>143</v>
      </c>
      <c r="C27" s="2" t="s">
        <v>144</v>
      </c>
      <c r="D27" s="2" t="s">
        <v>89</v>
      </c>
      <c r="E27" s="2"/>
      <c r="F27" s="4" t="n">
        <v>10</v>
      </c>
      <c r="G27" s="5" t="n">
        <v>20</v>
      </c>
      <c r="H27" s="6" t="n">
        <f aca="false">F27*G27</f>
        <v>200</v>
      </c>
      <c r="I27" s="4" t="n">
        <v>10.64</v>
      </c>
      <c r="J27" s="6" t="n">
        <v>335.92</v>
      </c>
      <c r="K27" s="7" t="n">
        <v>-0.003</v>
      </c>
      <c r="L27" s="7" t="n">
        <v>0.064</v>
      </c>
    </row>
    <row r="28" customFormat="false" ht="15" hidden="false" customHeight="false" outlineLevel="0" collapsed="false">
      <c r="A28" s="2" t="s">
        <v>145</v>
      </c>
      <c r="B28" s="2" t="s">
        <v>146</v>
      </c>
      <c r="C28" s="2" t="s">
        <v>147</v>
      </c>
      <c r="D28" s="2" t="s">
        <v>148</v>
      </c>
      <c r="E28" s="2"/>
      <c r="F28" s="4" t="n">
        <v>25</v>
      </c>
      <c r="G28" s="5" t="n">
        <v>12.6156</v>
      </c>
      <c r="H28" s="6" t="n">
        <f aca="false">F28*G28</f>
        <v>315.39</v>
      </c>
      <c r="I28" s="4" t="n">
        <v>26.5</v>
      </c>
    </row>
    <row r="29" customFormat="false" ht="15" hidden="false" customHeight="false" outlineLevel="0" collapsed="false">
      <c r="A29" s="2" t="s">
        <v>149</v>
      </c>
      <c r="B29" s="2" t="s">
        <v>150</v>
      </c>
      <c r="C29" s="2" t="s">
        <v>147</v>
      </c>
      <c r="D29" s="2" t="s">
        <v>70</v>
      </c>
      <c r="E29" s="2" t="s">
        <v>75</v>
      </c>
      <c r="F29" s="4" t="n">
        <v>20</v>
      </c>
      <c r="G29" s="5" t="n">
        <v>28</v>
      </c>
      <c r="H29" s="6" t="n">
        <f aca="false">F29*G29</f>
        <v>560</v>
      </c>
      <c r="I29" s="4" t="n">
        <v>16.92</v>
      </c>
      <c r="J29" s="6" t="n">
        <v>4751.86</v>
      </c>
      <c r="K29" s="7" t="n">
        <v>-0.0475</v>
      </c>
      <c r="L29" s="7" t="n">
        <v>-0.154</v>
      </c>
    </row>
    <row r="30" customFormat="false" ht="15" hidden="false" customHeight="false" outlineLevel="0" collapsed="false">
      <c r="A30" s="2" t="s">
        <v>151</v>
      </c>
      <c r="B30" s="2" t="s">
        <v>152</v>
      </c>
      <c r="C30" s="2" t="s">
        <v>153</v>
      </c>
      <c r="D30" s="2" t="s">
        <v>70</v>
      </c>
      <c r="E30" s="2" t="s">
        <v>83</v>
      </c>
      <c r="F30" s="4" t="n">
        <v>16</v>
      </c>
      <c r="G30" s="5" t="n">
        <v>54.9872</v>
      </c>
      <c r="H30" s="6" t="n">
        <f aca="false">F30*G30</f>
        <v>879.7952</v>
      </c>
      <c r="I30" s="4" t="n">
        <v>15.02</v>
      </c>
      <c r="J30" s="6" t="n">
        <v>10167.9</v>
      </c>
      <c r="K30" s="7" t="n">
        <v>0.1875</v>
      </c>
      <c r="L30" s="7" t="n">
        <v>-0.06125</v>
      </c>
    </row>
    <row r="31" customFormat="false" ht="15" hidden="false" customHeight="false" outlineLevel="0" collapsed="false">
      <c r="A31" s="2" t="s">
        <v>154</v>
      </c>
      <c r="B31" s="2" t="s">
        <v>155</v>
      </c>
      <c r="C31" s="2" t="s">
        <v>156</v>
      </c>
      <c r="D31" s="2" t="s">
        <v>70</v>
      </c>
      <c r="E31" s="2" t="s">
        <v>79</v>
      </c>
      <c r="F31" s="4" t="n">
        <v>5</v>
      </c>
      <c r="G31" s="5" t="n">
        <v>3</v>
      </c>
      <c r="H31" s="6" t="n">
        <f aca="false">F31*G31</f>
        <v>15</v>
      </c>
      <c r="I31" s="4" t="n">
        <v>39.08</v>
      </c>
      <c r="J31" s="6" t="n">
        <v>438.097</v>
      </c>
      <c r="K31" s="7" t="n">
        <v>1.5</v>
      </c>
      <c r="L31" s="7" t="n">
        <v>6.816</v>
      </c>
    </row>
    <row r="32" customFormat="false" ht="15" hidden="false" customHeight="false" outlineLevel="0" collapsed="false">
      <c r="A32" s="2" t="s">
        <v>157</v>
      </c>
      <c r="B32" s="2" t="s">
        <v>158</v>
      </c>
      <c r="C32" s="2" t="s">
        <v>159</v>
      </c>
      <c r="D32" s="2" t="s">
        <v>70</v>
      </c>
      <c r="E32" s="2" t="s">
        <v>160</v>
      </c>
      <c r="F32" s="4" t="n">
        <v>20</v>
      </c>
      <c r="G32" s="5" t="n">
        <v>42</v>
      </c>
      <c r="H32" s="6" t="n">
        <f aca="false">F32*G32</f>
        <v>840</v>
      </c>
      <c r="I32" s="4" t="n">
        <v>30.16</v>
      </c>
      <c r="J32" s="6" t="n">
        <v>8803.43</v>
      </c>
      <c r="K32" s="7" t="n">
        <v>0.175</v>
      </c>
      <c r="L32" s="7" t="n">
        <v>0.508</v>
      </c>
    </row>
    <row r="33" customFormat="false" ht="15" hidden="false" customHeight="false" outlineLevel="0" collapsed="false">
      <c r="A33" s="2" t="s">
        <v>161</v>
      </c>
      <c r="B33" s="2" t="s">
        <v>162</v>
      </c>
      <c r="C33" s="2" t="s">
        <v>163</v>
      </c>
      <c r="D33" s="2" t="s">
        <v>89</v>
      </c>
      <c r="E33" s="2"/>
      <c r="F33" s="4" t="n">
        <v>10</v>
      </c>
      <c r="G33" s="5" t="n">
        <v>2.31438</v>
      </c>
      <c r="H33" s="6" t="n">
        <f aca="false">F33*G33</f>
        <v>23.1438</v>
      </c>
      <c r="I33" s="4" t="n">
        <v>12.1</v>
      </c>
      <c r="J33" s="6" t="n">
        <v>28.2459</v>
      </c>
      <c r="K33" s="7" t="n">
        <v>0.011</v>
      </c>
      <c r="L33" s="7" t="n">
        <v>0.21</v>
      </c>
    </row>
    <row r="34" customFormat="false" ht="15" hidden="false" customHeight="false" outlineLevel="0" collapsed="false">
      <c r="A34" s="2" t="s">
        <v>164</v>
      </c>
      <c r="B34" s="2" t="s">
        <v>165</v>
      </c>
      <c r="C34" s="2" t="s">
        <v>166</v>
      </c>
      <c r="D34" s="2" t="s">
        <v>70</v>
      </c>
      <c r="E34" s="2" t="s">
        <v>118</v>
      </c>
      <c r="F34" s="4" t="n">
        <v>20</v>
      </c>
      <c r="G34" s="5" t="n">
        <v>10.52</v>
      </c>
      <c r="H34" s="6" t="n">
        <f aca="false">F34*G34</f>
        <v>210.4</v>
      </c>
      <c r="I34" s="4" t="n">
        <v>19.13</v>
      </c>
      <c r="J34" s="6" t="n">
        <v>841.766</v>
      </c>
      <c r="K34" s="7" t="n">
        <v>-0.055</v>
      </c>
      <c r="L34" s="7" t="n">
        <v>-0.0435</v>
      </c>
    </row>
    <row r="35" customFormat="false" ht="15" hidden="false" customHeight="false" outlineLevel="0" collapsed="false">
      <c r="A35" s="2" t="s">
        <v>167</v>
      </c>
      <c r="B35" s="2" t="s">
        <v>168</v>
      </c>
      <c r="C35" s="2" t="s">
        <v>169</v>
      </c>
      <c r="D35" s="2" t="s">
        <v>70</v>
      </c>
      <c r="E35" s="2" t="s">
        <v>79</v>
      </c>
      <c r="F35" s="4" t="n">
        <v>28</v>
      </c>
      <c r="G35" s="5" t="n">
        <v>40.5</v>
      </c>
      <c r="H35" s="6" t="n">
        <f aca="false">F35*G35</f>
        <v>1134</v>
      </c>
      <c r="I35" s="4" t="n">
        <v>41.77</v>
      </c>
      <c r="J35" s="6" t="n">
        <v>17139.7</v>
      </c>
      <c r="K35" s="7" t="n">
        <v>0.357143</v>
      </c>
      <c r="L35" s="7" t="n">
        <v>0.491786</v>
      </c>
    </row>
    <row r="36" customFormat="false" ht="15" hidden="false" customHeight="false" outlineLevel="0" collapsed="false">
      <c r="A36" s="2" t="s">
        <v>170</v>
      </c>
      <c r="B36" s="2" t="s">
        <v>171</v>
      </c>
      <c r="C36" s="2" t="s">
        <v>169</v>
      </c>
      <c r="D36" s="2" t="s">
        <v>70</v>
      </c>
      <c r="E36" s="2" t="s">
        <v>79</v>
      </c>
      <c r="F36" s="4" t="n">
        <v>27</v>
      </c>
      <c r="G36" s="5" t="n">
        <v>82.6923</v>
      </c>
      <c r="H36" s="6" t="n">
        <f aca="false">F36*G36</f>
        <v>2232.6921</v>
      </c>
      <c r="I36" s="4" t="n">
        <v>34.58</v>
      </c>
      <c r="J36" s="6" t="n">
        <v>17333.8</v>
      </c>
      <c r="K36" s="7" t="n">
        <v>0.185185</v>
      </c>
      <c r="L36" s="7" t="n">
        <v>0.280741</v>
      </c>
    </row>
    <row r="37" customFormat="false" ht="15" hidden="false" customHeight="false" outlineLevel="0" collapsed="false">
      <c r="A37" s="2" t="s">
        <v>172</v>
      </c>
      <c r="B37" s="2" t="s">
        <v>173</v>
      </c>
      <c r="C37" s="2" t="s">
        <v>174</v>
      </c>
      <c r="D37" s="2" t="s">
        <v>89</v>
      </c>
      <c r="E37" s="2"/>
      <c r="F37" s="4" t="n">
        <v>10</v>
      </c>
      <c r="G37" s="5" t="n">
        <v>6</v>
      </c>
      <c r="H37" s="6" t="n">
        <f aca="false">F37*G37</f>
        <v>60</v>
      </c>
      <c r="I37" s="4" t="n">
        <v>11</v>
      </c>
      <c r="J37" s="6" t="n">
        <v>88.275</v>
      </c>
      <c r="K37" s="7" t="n">
        <v>0</v>
      </c>
      <c r="L37" s="7" t="n">
        <v>0.1</v>
      </c>
    </row>
    <row r="38" customFormat="false" ht="15" hidden="false" customHeight="false" outlineLevel="0" collapsed="false">
      <c r="A38" s="2" t="s">
        <v>175</v>
      </c>
      <c r="B38" s="2" t="s">
        <v>176</v>
      </c>
      <c r="C38" s="2" t="s">
        <v>174</v>
      </c>
      <c r="D38" s="2" t="s">
        <v>70</v>
      </c>
      <c r="E38" s="2" t="s">
        <v>75</v>
      </c>
      <c r="F38" s="4" t="n">
        <v>17</v>
      </c>
      <c r="G38" s="5" t="n">
        <v>11.25</v>
      </c>
      <c r="H38" s="6" t="n">
        <f aca="false">F38*G38</f>
        <v>191.25</v>
      </c>
      <c r="I38" s="4" t="n">
        <v>23.92</v>
      </c>
      <c r="J38" s="6" t="n">
        <v>1657.92</v>
      </c>
      <c r="K38" s="7" t="n">
        <v>0.329412</v>
      </c>
      <c r="L38" s="7" t="n">
        <v>0.407059</v>
      </c>
    </row>
    <row r="39" customFormat="false" ht="15" hidden="false" customHeight="false" outlineLevel="0" collapsed="false">
      <c r="A39" s="2" t="s">
        <v>177</v>
      </c>
      <c r="B39" s="2" t="s">
        <v>178</v>
      </c>
      <c r="C39" s="2" t="s">
        <v>174</v>
      </c>
      <c r="D39" s="2" t="s">
        <v>70</v>
      </c>
      <c r="E39" s="2" t="s">
        <v>75</v>
      </c>
      <c r="F39" s="4" t="n">
        <v>16</v>
      </c>
      <c r="G39" s="5" t="n">
        <v>39.0625</v>
      </c>
      <c r="H39" s="6" t="n">
        <f aca="false">F39*G39</f>
        <v>625</v>
      </c>
      <c r="I39" s="4" t="n">
        <v>17.91</v>
      </c>
      <c r="J39" s="6" t="n">
        <v>2320.52</v>
      </c>
      <c r="K39" s="7" t="n">
        <v>0.625</v>
      </c>
      <c r="L39" s="7" t="n">
        <v>0.119375</v>
      </c>
    </row>
    <row r="40" customFormat="false" ht="15" hidden="false" customHeight="false" outlineLevel="0" collapsed="false">
      <c r="A40" s="2" t="s">
        <v>179</v>
      </c>
      <c r="B40" s="2" t="s">
        <v>180</v>
      </c>
      <c r="C40" s="2" t="s">
        <v>174</v>
      </c>
      <c r="D40" s="2" t="s">
        <v>70</v>
      </c>
      <c r="E40" s="2" t="s">
        <v>79</v>
      </c>
      <c r="F40" s="4" t="n">
        <v>20</v>
      </c>
      <c r="G40" s="5" t="n">
        <v>16</v>
      </c>
      <c r="H40" s="6" t="n">
        <f aca="false">F40*G40</f>
        <v>320</v>
      </c>
      <c r="I40" s="4" t="n">
        <v>13.32</v>
      </c>
      <c r="J40" s="6" t="n">
        <v>1519.04</v>
      </c>
      <c r="K40" s="7" t="n">
        <v>0.1505</v>
      </c>
      <c r="L40" s="7" t="n">
        <v>-0.334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70</v>
      </c>
      <c r="E41" s="2" t="s">
        <v>71</v>
      </c>
      <c r="F41" s="4" t="n">
        <v>20</v>
      </c>
      <c r="G41" s="5" t="n">
        <v>14</v>
      </c>
      <c r="H41" s="6" t="n">
        <f aca="false">F41*G41</f>
        <v>280</v>
      </c>
      <c r="I41" s="4" t="n">
        <v>20.15</v>
      </c>
      <c r="J41" s="6" t="n">
        <v>1273.37</v>
      </c>
      <c r="K41" s="7" t="n">
        <v>0.1</v>
      </c>
      <c r="L41" s="7" t="n">
        <v>0.00749998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70</v>
      </c>
      <c r="E42" s="2" t="s">
        <v>79</v>
      </c>
      <c r="F42" s="4" t="n">
        <v>14</v>
      </c>
      <c r="G42" s="5" t="n">
        <v>8.57143</v>
      </c>
      <c r="H42" s="6" t="n">
        <f aca="false">F42*G42</f>
        <v>120.00002</v>
      </c>
      <c r="I42" s="4" t="n">
        <v>14.39</v>
      </c>
      <c r="J42" s="6" t="n">
        <v>431.41</v>
      </c>
      <c r="K42" s="7" t="n">
        <v>0.285714</v>
      </c>
      <c r="L42" s="7" t="n">
        <v>0.0278572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70</v>
      </c>
      <c r="E43" s="2" t="s">
        <v>79</v>
      </c>
      <c r="F43" s="4" t="n">
        <v>23</v>
      </c>
      <c r="G43" s="5" t="n">
        <v>44.2547</v>
      </c>
      <c r="H43" s="6" t="n">
        <f aca="false">F43*G43</f>
        <v>1017.8581</v>
      </c>
      <c r="I43" s="4" t="n">
        <v>15.66</v>
      </c>
      <c r="J43" s="6" t="n">
        <v>6363.69</v>
      </c>
      <c r="K43" s="7" t="n">
        <v>0.30913</v>
      </c>
      <c r="L43" s="7" t="n">
        <v>-0.31913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148</v>
      </c>
      <c r="E44" s="2"/>
      <c r="F44" s="4" t="n">
        <v>50</v>
      </c>
      <c r="G44" s="5" t="n">
        <v>40.517</v>
      </c>
      <c r="H44" s="6" t="n">
        <f aca="false">F44*G44</f>
        <v>2025.85</v>
      </c>
      <c r="I44" s="4" t="n">
        <v>36.75</v>
      </c>
      <c r="K44" s="7" t="n">
        <v>-0.16</v>
      </c>
      <c r="L44" s="7" t="n">
        <v>-0.265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70</v>
      </c>
      <c r="E45" s="2" t="s">
        <v>75</v>
      </c>
      <c r="F45" s="4" t="n">
        <v>18</v>
      </c>
      <c r="G45" s="5" t="n">
        <v>16.6667</v>
      </c>
      <c r="H45" s="6" t="n">
        <f aca="false">F45*G45</f>
        <v>300.0006</v>
      </c>
      <c r="I45" s="4" t="n">
        <v>28.63</v>
      </c>
      <c r="J45" s="6" t="n">
        <v>1269.26</v>
      </c>
      <c r="K45" s="7" t="n">
        <v>0.444444</v>
      </c>
      <c r="L45" s="7" t="n">
        <v>0.590555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195</v>
      </c>
      <c r="D46" s="2" t="s">
        <v>70</v>
      </c>
      <c r="E46" s="2" t="s">
        <v>198</v>
      </c>
      <c r="F46" s="4" t="n">
        <v>11.5</v>
      </c>
      <c r="G46" s="5" t="n">
        <v>5.2</v>
      </c>
      <c r="H46" s="6" t="n">
        <f aca="false">F46*G46</f>
        <v>59.8</v>
      </c>
      <c r="I46" s="4" t="n">
        <v>6.16</v>
      </c>
      <c r="J46" s="6" t="n">
        <v>181.896</v>
      </c>
      <c r="K46" s="7" t="n">
        <v>-0.0652174</v>
      </c>
      <c r="L46" s="7" t="n">
        <v>-0.464348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70</v>
      </c>
      <c r="E47" s="2" t="s">
        <v>75</v>
      </c>
      <c r="F47" s="4" t="n">
        <v>18</v>
      </c>
      <c r="G47" s="5" t="n">
        <v>14.6</v>
      </c>
      <c r="H47" s="6" t="n">
        <f aca="false">F47*G47</f>
        <v>262.8</v>
      </c>
      <c r="I47" s="4" t="n">
        <v>20.55</v>
      </c>
      <c r="J47" s="6" t="n">
        <v>1100.05</v>
      </c>
      <c r="K47" s="7" t="n">
        <v>0.166667</v>
      </c>
      <c r="L47" s="7" t="n">
        <v>0.141667</v>
      </c>
    </row>
    <row r="48" customFormat="false" ht="15" hidden="false" customHeight="false" outlineLevel="0" collapsed="false">
      <c r="A48" s="2" t="s">
        <v>202</v>
      </c>
      <c r="B48" s="2" t="s">
        <v>203</v>
      </c>
      <c r="C48" s="2" t="s">
        <v>201</v>
      </c>
      <c r="D48" s="2" t="s">
        <v>70</v>
      </c>
      <c r="E48" s="2" t="s">
        <v>75</v>
      </c>
      <c r="F48" s="4" t="n">
        <v>18</v>
      </c>
      <c r="G48" s="5" t="n">
        <v>16.75</v>
      </c>
      <c r="H48" s="6" t="n">
        <f aca="false">F48*G48</f>
        <v>301.5</v>
      </c>
      <c r="I48" s="4" t="n">
        <v>49.39</v>
      </c>
      <c r="J48" s="6" t="n">
        <v>2306.78</v>
      </c>
      <c r="K48" s="7" t="n">
        <v>0.5</v>
      </c>
      <c r="L48" s="7" t="n">
        <v>1.74389</v>
      </c>
    </row>
    <row r="49" customFormat="false" ht="1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70</v>
      </c>
      <c r="E49" s="2" t="s">
        <v>198</v>
      </c>
      <c r="F49" s="4" t="n">
        <v>19</v>
      </c>
      <c r="G49" s="5" t="n">
        <v>3.33333</v>
      </c>
      <c r="H49" s="6" t="n">
        <f aca="false">F49*G49</f>
        <v>63.33327</v>
      </c>
      <c r="I49" s="4" t="n">
        <v>11.24</v>
      </c>
      <c r="J49" s="6" t="n">
        <v>223.758</v>
      </c>
      <c r="K49" s="7" t="n">
        <v>0.315789</v>
      </c>
      <c r="L49" s="7" t="n">
        <v>-0.408421</v>
      </c>
    </row>
    <row r="50" customFormat="false" ht="15" hidden="false" customHeight="false" outlineLevel="0" collapsed="false">
      <c r="A50" s="2" t="s">
        <v>207</v>
      </c>
      <c r="B50" s="2" t="s">
        <v>208</v>
      </c>
      <c r="C50" s="2" t="s">
        <v>209</v>
      </c>
      <c r="D50" s="2" t="s">
        <v>70</v>
      </c>
      <c r="E50" s="2" t="s">
        <v>79</v>
      </c>
      <c r="F50" s="4" t="n">
        <v>26</v>
      </c>
      <c r="G50" s="5" t="n">
        <v>16</v>
      </c>
      <c r="H50" s="6" t="n">
        <f aca="false">F50*G50</f>
        <v>416</v>
      </c>
      <c r="I50" s="4" t="n">
        <v>17.44</v>
      </c>
      <c r="J50" s="6" t="n">
        <v>1708.42</v>
      </c>
      <c r="K50" s="7" t="n">
        <v>0.3</v>
      </c>
      <c r="L50" s="7" t="n">
        <v>-0.329231</v>
      </c>
    </row>
    <row r="51" customFormat="false" ht="15" hidden="false" customHeight="false" outlineLevel="0" collapsed="false">
      <c r="A51" s="2" t="s">
        <v>210</v>
      </c>
      <c r="B51" s="2" t="s">
        <v>211</v>
      </c>
      <c r="C51" s="2" t="s">
        <v>212</v>
      </c>
      <c r="D51" s="2" t="s">
        <v>70</v>
      </c>
      <c r="E51" s="2" t="s">
        <v>75</v>
      </c>
      <c r="F51" s="4" t="n">
        <v>15</v>
      </c>
      <c r="G51" s="5" t="n">
        <v>10</v>
      </c>
      <c r="H51" s="6" t="n">
        <f aca="false">F51*G51</f>
        <v>150</v>
      </c>
      <c r="I51" s="4" t="n">
        <v>12.01</v>
      </c>
      <c r="J51" s="6" t="n">
        <v>399.321</v>
      </c>
      <c r="K51" s="7" t="n">
        <v>-0.0666667</v>
      </c>
      <c r="L51" s="7" t="n">
        <v>-0.199333</v>
      </c>
    </row>
    <row r="52" customFormat="false" ht="15" hidden="false" customHeight="false" outlineLevel="0" collapsed="false">
      <c r="A52" s="2" t="s">
        <v>213</v>
      </c>
      <c r="B52" s="2" t="s">
        <v>214</v>
      </c>
      <c r="C52" s="2" t="s">
        <v>212</v>
      </c>
      <c r="D52" s="2" t="s">
        <v>70</v>
      </c>
      <c r="E52" s="2" t="s">
        <v>75</v>
      </c>
      <c r="F52" s="4" t="n">
        <v>18</v>
      </c>
      <c r="G52" s="5" t="n">
        <v>15.5</v>
      </c>
      <c r="H52" s="6" t="n">
        <f aca="false">F52*G52</f>
        <v>279</v>
      </c>
      <c r="I52" s="4" t="n">
        <v>17.58</v>
      </c>
      <c r="J52" s="6" t="n">
        <v>844.391</v>
      </c>
      <c r="K52" s="7" t="n">
        <v>0.111111</v>
      </c>
      <c r="L52" s="7" t="n">
        <v>-0.0233333</v>
      </c>
    </row>
    <row r="53" customFormat="false" ht="15" hidden="false" customHeight="false" outlineLevel="0" collapsed="false">
      <c r="A53" s="2" t="s">
        <v>215</v>
      </c>
      <c r="B53" s="2" t="s">
        <v>216</v>
      </c>
      <c r="C53" s="2" t="s">
        <v>217</v>
      </c>
      <c r="D53" s="2" t="s">
        <v>70</v>
      </c>
      <c r="E53" s="2" t="s">
        <v>218</v>
      </c>
      <c r="F53" s="4" t="n">
        <v>27</v>
      </c>
      <c r="G53" s="5" t="n">
        <v>70</v>
      </c>
      <c r="H53" s="6" t="n">
        <f aca="false">F53*G53</f>
        <v>1890</v>
      </c>
      <c r="I53" s="4" t="n">
        <v>25.49</v>
      </c>
      <c r="J53" s="6" t="n">
        <v>7510.5</v>
      </c>
      <c r="K53" s="7" t="n">
        <v>0.333333</v>
      </c>
      <c r="L53" s="7" t="n">
        <v>-0.0559259</v>
      </c>
    </row>
    <row r="54" customFormat="false" ht="15" hidden="false" customHeight="false" outlineLevel="0" collapsed="false">
      <c r="A54" s="2" t="s">
        <v>219</v>
      </c>
      <c r="B54" s="2" t="s">
        <v>220</v>
      </c>
      <c r="C54" s="2" t="s">
        <v>217</v>
      </c>
      <c r="D54" s="2" t="s">
        <v>70</v>
      </c>
      <c r="E54" s="2" t="s">
        <v>75</v>
      </c>
      <c r="F54" s="4" t="n">
        <v>15</v>
      </c>
      <c r="G54" s="5" t="n">
        <v>31.9149</v>
      </c>
      <c r="H54" s="6" t="n">
        <f aca="false">F54*G54</f>
        <v>478.7235</v>
      </c>
      <c r="I54" s="4" t="n">
        <v>12.96</v>
      </c>
      <c r="J54" s="6" t="n">
        <v>2891.83</v>
      </c>
      <c r="K54" s="7" t="n">
        <v>-0.1</v>
      </c>
      <c r="L54" s="7" t="n">
        <v>-0.136</v>
      </c>
    </row>
    <row r="55" customFormat="false" ht="15" hidden="false" customHeight="false" outlineLevel="0" collapsed="false">
      <c r="A55" s="2" t="s">
        <v>221</v>
      </c>
      <c r="B55" s="2" t="s">
        <v>222</v>
      </c>
      <c r="C55" s="2" t="s">
        <v>223</v>
      </c>
      <c r="D55" s="2" t="s">
        <v>70</v>
      </c>
      <c r="E55" s="2" t="s">
        <v>160</v>
      </c>
      <c r="F55" s="4" t="n">
        <v>20</v>
      </c>
      <c r="G55" s="5" t="n">
        <v>87.5</v>
      </c>
      <c r="H55" s="6" t="n">
        <f aca="false">F55*G55</f>
        <v>1750</v>
      </c>
      <c r="I55" s="4" t="n">
        <v>20.14</v>
      </c>
      <c r="J55" s="6" t="n">
        <v>2026.48</v>
      </c>
      <c r="K55" s="7" t="n">
        <v>0</v>
      </c>
      <c r="L55" s="7" t="n">
        <v>0.00699997</v>
      </c>
    </row>
    <row r="56" customFormat="false" ht="15" hidden="false" customHeight="false" outlineLevel="0" collapsed="false">
      <c r="A56" s="2" t="s">
        <v>224</v>
      </c>
      <c r="B56" s="2" t="s">
        <v>225</v>
      </c>
      <c r="C56" s="2" t="s">
        <v>223</v>
      </c>
      <c r="D56" s="2" t="s">
        <v>70</v>
      </c>
      <c r="E56" s="2" t="s">
        <v>118</v>
      </c>
      <c r="F56" s="4" t="n">
        <v>18.5</v>
      </c>
      <c r="G56" s="5" t="n">
        <v>17.3</v>
      </c>
      <c r="H56" s="6" t="n">
        <f aca="false">F56*G56</f>
        <v>320.05</v>
      </c>
      <c r="I56" s="4" t="n">
        <v>20.29</v>
      </c>
      <c r="J56" s="6" t="n">
        <v>2629.99</v>
      </c>
      <c r="K56" s="7" t="n">
        <v>0.243243</v>
      </c>
      <c r="L56" s="7" t="n">
        <v>0.0967568</v>
      </c>
    </row>
    <row r="57" customFormat="false" ht="15" hidden="false" customHeight="false" outlineLevel="0" collapsed="false">
      <c r="A57" s="2" t="s">
        <v>226</v>
      </c>
      <c r="B57" s="2" t="s">
        <v>227</v>
      </c>
      <c r="C57" s="2" t="s">
        <v>223</v>
      </c>
      <c r="D57" s="2" t="s">
        <v>70</v>
      </c>
      <c r="E57" s="2" t="s">
        <v>130</v>
      </c>
      <c r="F57" s="4" t="n">
        <v>185</v>
      </c>
      <c r="G57" s="5" t="n">
        <v>30</v>
      </c>
      <c r="H57" s="6" t="n">
        <f aca="false">F57*G57</f>
        <v>5550</v>
      </c>
      <c r="I57" s="4" t="n">
        <v>176.88</v>
      </c>
      <c r="J57" s="6" t="n">
        <v>39417.8</v>
      </c>
      <c r="K57" s="7" t="n">
        <v>0.891892</v>
      </c>
      <c r="L57" s="7" t="n">
        <v>-0.0438919</v>
      </c>
    </row>
    <row r="58" customFormat="false" ht="15" hidden="false" customHeight="false" outlineLevel="0" collapsed="false">
      <c r="A58" s="2" t="s">
        <v>228</v>
      </c>
      <c r="B58" s="2" t="s">
        <v>229</v>
      </c>
      <c r="C58" s="2" t="s">
        <v>230</v>
      </c>
      <c r="D58" s="2" t="s">
        <v>70</v>
      </c>
      <c r="E58" s="2" t="s">
        <v>130</v>
      </c>
      <c r="F58" s="4" t="n">
        <v>4</v>
      </c>
      <c r="G58" s="5" t="n">
        <v>3.75</v>
      </c>
      <c r="H58" s="6" t="n">
        <f aca="false">F58*G58</f>
        <v>15</v>
      </c>
      <c r="I58" s="4" t="n">
        <v>2.27</v>
      </c>
      <c r="J58" s="6" t="n">
        <v>33.1033</v>
      </c>
      <c r="K58" s="7" t="n">
        <v>0</v>
      </c>
      <c r="L58" s="7" t="n">
        <v>-0.4325</v>
      </c>
    </row>
    <row r="59" customFormat="false" ht="15" hidden="false" customHeight="false" outlineLevel="0" collapsed="false">
      <c r="A59" s="2" t="s">
        <v>231</v>
      </c>
      <c r="B59" s="2" t="s">
        <v>232</v>
      </c>
      <c r="C59" s="2" t="s">
        <v>233</v>
      </c>
      <c r="D59" s="2" t="s">
        <v>89</v>
      </c>
      <c r="E59" s="2"/>
      <c r="F59" s="4" t="n">
        <v>10</v>
      </c>
      <c r="G59" s="5" t="n">
        <v>7.5</v>
      </c>
      <c r="H59" s="6" t="n">
        <f aca="false">F59*G59</f>
        <v>75</v>
      </c>
      <c r="I59" s="4" t="n">
        <v>10.09</v>
      </c>
      <c r="J59" s="6" t="n">
        <v>94.5938</v>
      </c>
      <c r="K59" s="7" t="n">
        <v>0.015</v>
      </c>
      <c r="L59" s="7" t="n">
        <v>0.00900002</v>
      </c>
    </row>
    <row r="60" customFormat="false" ht="15" hidden="false" customHeight="false" outlineLevel="0" collapsed="false">
      <c r="A60" s="2" t="s">
        <v>234</v>
      </c>
      <c r="B60" s="2" t="s">
        <v>235</v>
      </c>
      <c r="C60" s="2" t="s">
        <v>236</v>
      </c>
      <c r="D60" s="2" t="s">
        <v>70</v>
      </c>
      <c r="E60" s="2" t="s">
        <v>83</v>
      </c>
      <c r="F60" s="4" t="n">
        <v>20</v>
      </c>
      <c r="G60" s="5" t="n">
        <v>21.05</v>
      </c>
      <c r="H60" s="6" t="n">
        <f aca="false">F60*G60</f>
        <v>421</v>
      </c>
      <c r="I60" s="4" t="n">
        <v>22.66</v>
      </c>
      <c r="J60" s="6" t="n">
        <v>2311.67</v>
      </c>
      <c r="K60" s="7" t="n">
        <v>0.1255</v>
      </c>
      <c r="L60" s="7" t="n">
        <v>0.133</v>
      </c>
    </row>
    <row r="61" customFormat="false" ht="15" hidden="false" customHeight="false" outlineLevel="0" collapsed="false">
      <c r="A61" s="2" t="s">
        <v>237</v>
      </c>
      <c r="B61" s="2" t="s">
        <v>238</v>
      </c>
      <c r="C61" s="2" t="s">
        <v>236</v>
      </c>
      <c r="D61" s="2" t="s">
        <v>89</v>
      </c>
      <c r="E61" s="2"/>
      <c r="F61" s="4" t="n">
        <v>10</v>
      </c>
      <c r="G61" s="5" t="n">
        <v>7.5</v>
      </c>
      <c r="H61" s="6" t="n">
        <f aca="false">F61*G61</f>
        <v>75</v>
      </c>
      <c r="I61" s="4" t="n">
        <v>11.01</v>
      </c>
      <c r="J61" s="6" t="n">
        <v>100.175</v>
      </c>
      <c r="K61" s="7" t="n">
        <v>0.021</v>
      </c>
      <c r="L61" s="7" t="n">
        <v>0.101</v>
      </c>
    </row>
    <row r="62" customFormat="false" ht="15" hidden="false" customHeight="false" outlineLevel="0" collapsed="false">
      <c r="A62" s="2" t="s">
        <v>239</v>
      </c>
      <c r="B62" s="2" t="s">
        <v>240</v>
      </c>
      <c r="C62" s="2" t="s">
        <v>241</v>
      </c>
      <c r="D62" s="2" t="s">
        <v>89</v>
      </c>
      <c r="E62" s="2"/>
      <c r="F62" s="4" t="n">
        <v>10</v>
      </c>
      <c r="G62" s="5" t="n">
        <v>15</v>
      </c>
      <c r="H62" s="6" t="n">
        <f aca="false">F62*G62</f>
        <v>150</v>
      </c>
      <c r="I62" s="4" t="n">
        <v>10.02</v>
      </c>
      <c r="J62" s="6" t="n">
        <v>230.46</v>
      </c>
      <c r="K62" s="7" t="n">
        <v>0.002</v>
      </c>
      <c r="L62" s="7" t="n">
        <v>0.00200005</v>
      </c>
    </row>
    <row r="63" customFormat="false" ht="15" hidden="false" customHeight="false" outlineLevel="0" collapsed="false">
      <c r="A63" s="2" t="s">
        <v>242</v>
      </c>
      <c r="B63" s="2" t="s">
        <v>243</v>
      </c>
      <c r="C63" s="2" t="s">
        <v>241</v>
      </c>
      <c r="D63" s="2" t="s">
        <v>70</v>
      </c>
      <c r="E63" s="2" t="s">
        <v>79</v>
      </c>
      <c r="F63" s="4" t="n">
        <v>20</v>
      </c>
      <c r="G63" s="5" t="n">
        <v>32.5</v>
      </c>
      <c r="H63" s="6" t="n">
        <f aca="false">F63*G63</f>
        <v>650</v>
      </c>
      <c r="I63" s="4" t="n">
        <v>16.85</v>
      </c>
      <c r="J63" s="6" t="n">
        <v>2877.03</v>
      </c>
      <c r="K63" s="7" t="n">
        <v>0.0375</v>
      </c>
      <c r="L63" s="7" t="n">
        <v>-0.1575</v>
      </c>
    </row>
    <row r="64" customFormat="false" ht="15" hidden="false" customHeight="false" outlineLevel="0" collapsed="false">
      <c r="A64" s="2" t="s">
        <v>244</v>
      </c>
      <c r="B64" s="2" t="s">
        <v>245</v>
      </c>
      <c r="C64" s="2" t="s">
        <v>246</v>
      </c>
      <c r="D64" s="2" t="s">
        <v>89</v>
      </c>
      <c r="E64" s="2"/>
      <c r="F64" s="4" t="n">
        <v>10</v>
      </c>
      <c r="G64" s="5" t="n">
        <v>17.5</v>
      </c>
      <c r="H64" s="6" t="n">
        <f aca="false">F64*G64</f>
        <v>175</v>
      </c>
      <c r="I64" s="4" t="n">
        <v>9.94</v>
      </c>
      <c r="J64" s="6" t="n">
        <v>255.421</v>
      </c>
      <c r="K64" s="7" t="n">
        <v>-0.007</v>
      </c>
      <c r="L64" s="7" t="n">
        <v>-0.00600004</v>
      </c>
    </row>
    <row r="65" customFormat="false" ht="15" hidden="false" customHeight="false" outlineLevel="0" collapsed="false">
      <c r="A65" s="2" t="s">
        <v>247</v>
      </c>
      <c r="B65" s="2" t="s">
        <v>248</v>
      </c>
      <c r="C65" s="2" t="s">
        <v>246</v>
      </c>
      <c r="D65" s="2" t="s">
        <v>70</v>
      </c>
      <c r="E65" s="2" t="s">
        <v>79</v>
      </c>
      <c r="F65" s="4" t="n">
        <v>27</v>
      </c>
      <c r="G65" s="5" t="n">
        <v>90</v>
      </c>
      <c r="H65" s="6" t="n">
        <f aca="false">F65*G65</f>
        <v>2430</v>
      </c>
      <c r="I65" s="4" t="n">
        <v>27.47</v>
      </c>
      <c r="J65" s="6" t="n">
        <v>20602.5</v>
      </c>
      <c r="K65" s="7" t="n">
        <v>0.148148</v>
      </c>
      <c r="L65" s="7" t="n">
        <v>0.0174074</v>
      </c>
    </row>
    <row r="66" customFormat="false" ht="15" hidden="false" customHeight="false" outlineLevel="0" collapsed="false">
      <c r="A66" s="2" t="s">
        <v>249</v>
      </c>
      <c r="B66" s="2" t="s">
        <v>250</v>
      </c>
      <c r="C66" s="2" t="s">
        <v>246</v>
      </c>
      <c r="D66" s="2" t="s">
        <v>70</v>
      </c>
      <c r="E66" s="2" t="s">
        <v>251</v>
      </c>
      <c r="F66" s="4" t="n">
        <v>23</v>
      </c>
      <c r="G66" s="5" t="n">
        <v>19</v>
      </c>
      <c r="H66" s="6" t="n">
        <f aca="false">F66*G66</f>
        <v>437</v>
      </c>
      <c r="I66" s="4" t="n">
        <v>23.16</v>
      </c>
      <c r="J66" s="6" t="n">
        <v>3921.7</v>
      </c>
      <c r="K66" s="7" t="n">
        <v>0.0913044</v>
      </c>
      <c r="L66" s="7" t="n">
        <v>0.00695651</v>
      </c>
    </row>
    <row r="67" customFormat="false" ht="15" hidden="false" customHeight="false" outlineLevel="0" collapsed="false">
      <c r="A67" s="2" t="s">
        <v>252</v>
      </c>
      <c r="B67" s="2" t="s">
        <v>253</v>
      </c>
      <c r="C67" s="2" t="s">
        <v>246</v>
      </c>
      <c r="D67" s="2" t="s">
        <v>70</v>
      </c>
      <c r="E67" s="2" t="s">
        <v>130</v>
      </c>
      <c r="F67" s="4" t="n">
        <v>60</v>
      </c>
      <c r="G67" s="5" t="n">
        <v>28</v>
      </c>
      <c r="H67" s="6" t="n">
        <f aca="false">F67*G67</f>
        <v>1680</v>
      </c>
      <c r="I67" s="4" t="n">
        <v>57.35</v>
      </c>
      <c r="J67" s="6" t="n">
        <v>16880</v>
      </c>
      <c r="K67" s="7" t="n">
        <v>0.133333</v>
      </c>
      <c r="L67" s="7" t="n">
        <v>-0.0441667</v>
      </c>
    </row>
    <row r="68" customFormat="false" ht="15" hidden="false" customHeight="false" outlineLevel="0" collapsed="false">
      <c r="A68" s="2" t="s">
        <v>254</v>
      </c>
      <c r="B68" s="2" t="s">
        <v>255</v>
      </c>
      <c r="C68" s="2" t="s">
        <v>246</v>
      </c>
      <c r="D68" s="2" t="s">
        <v>70</v>
      </c>
      <c r="E68" s="2" t="s">
        <v>198</v>
      </c>
      <c r="F68" s="4" t="n">
        <v>13.5</v>
      </c>
      <c r="G68" s="5" t="n">
        <v>20</v>
      </c>
      <c r="H68" s="6" t="n">
        <f aca="false">F68*G68</f>
        <v>270</v>
      </c>
      <c r="I68" s="4" t="n">
        <v>13.22</v>
      </c>
      <c r="J68" s="6" t="n">
        <v>1900.07</v>
      </c>
      <c r="K68" s="7" t="n">
        <v>0.111111</v>
      </c>
      <c r="L68" s="7" t="n">
        <v>-0.0207407</v>
      </c>
    </row>
    <row r="69" customFormat="false" ht="15" hidden="false" customHeight="false" outlineLevel="0" collapsed="false">
      <c r="A69" s="2" t="s">
        <v>256</v>
      </c>
      <c r="B69" s="2" t="s">
        <v>257</v>
      </c>
      <c r="C69" s="2" t="s">
        <v>258</v>
      </c>
      <c r="D69" s="2" t="s">
        <v>89</v>
      </c>
      <c r="E69" s="2"/>
      <c r="F69" s="4" t="n">
        <v>10</v>
      </c>
      <c r="G69" s="5" t="n">
        <v>20</v>
      </c>
      <c r="H69" s="6" t="n">
        <f aca="false">F69*G69</f>
        <v>200</v>
      </c>
      <c r="I69" s="4" t="n">
        <v>10.09</v>
      </c>
      <c r="J69" s="6" t="n">
        <v>290.088</v>
      </c>
      <c r="K69" s="7" t="n">
        <v>0.007</v>
      </c>
      <c r="L69" s="7" t="n">
        <v>0.00900002</v>
      </c>
    </row>
    <row r="70" customFormat="false" ht="15" hidden="false" customHeight="false" outlineLevel="0" collapsed="false">
      <c r="A70" s="2" t="s">
        <v>259</v>
      </c>
      <c r="B70" s="2" t="s">
        <v>260</v>
      </c>
      <c r="C70" s="2" t="s">
        <v>261</v>
      </c>
      <c r="D70" s="2" t="s">
        <v>70</v>
      </c>
      <c r="E70" s="2" t="s">
        <v>75</v>
      </c>
      <c r="F70" s="4" t="n">
        <v>11</v>
      </c>
      <c r="G70" s="5" t="n">
        <v>2.975</v>
      </c>
      <c r="H70" s="6" t="n">
        <f aca="false">F70*G70</f>
        <v>32.725</v>
      </c>
      <c r="I70" s="4" t="n">
        <v>11.65</v>
      </c>
      <c r="J70" s="6" t="n">
        <v>104.794</v>
      </c>
      <c r="L70" s="7" t="n">
        <v>0.0590909</v>
      </c>
    </row>
    <row r="71" customFormat="false" ht="15" hidden="false" customHeight="false" outlineLevel="0" collapsed="false">
      <c r="A71" s="2" t="s">
        <v>262</v>
      </c>
      <c r="B71" s="2" t="s">
        <v>263</v>
      </c>
      <c r="C71" s="2" t="s">
        <v>261</v>
      </c>
      <c r="D71" s="2" t="s">
        <v>89</v>
      </c>
      <c r="E71" s="2"/>
      <c r="F71" s="4" t="n">
        <v>10</v>
      </c>
      <c r="G71" s="5" t="n">
        <v>10</v>
      </c>
      <c r="H71" s="6" t="n">
        <f aca="false">F71*G71</f>
        <v>100</v>
      </c>
      <c r="I71" s="4" t="n">
        <v>10.25</v>
      </c>
      <c r="J71" s="6" t="n">
        <v>160.447</v>
      </c>
      <c r="K71" s="7" t="n">
        <v>0.02</v>
      </c>
      <c r="L71" s="7" t="n">
        <v>0.025</v>
      </c>
    </row>
    <row r="72" customFormat="false" ht="15" hidden="false" customHeight="false" outlineLevel="0" collapsed="false">
      <c r="A72" s="2" t="s">
        <v>264</v>
      </c>
      <c r="B72" s="2" t="s">
        <v>265</v>
      </c>
      <c r="C72" s="2" t="s">
        <v>261</v>
      </c>
      <c r="D72" s="2" t="s">
        <v>70</v>
      </c>
      <c r="E72" s="2" t="s">
        <v>118</v>
      </c>
      <c r="F72" s="4" t="n">
        <v>26</v>
      </c>
      <c r="G72" s="5" t="n">
        <v>7.7</v>
      </c>
      <c r="H72" s="6" t="n">
        <f aca="false">F72*G72</f>
        <v>200.2</v>
      </c>
      <c r="I72" s="4" t="n">
        <v>25.75</v>
      </c>
      <c r="J72" s="6" t="n">
        <v>688.724</v>
      </c>
      <c r="K72" s="7" t="n">
        <v>0.00576923</v>
      </c>
      <c r="L72" s="7" t="n">
        <v>-0.00961538</v>
      </c>
    </row>
    <row r="73" customFormat="false" ht="15" hidden="false" customHeight="false" outlineLevel="0" collapsed="false">
      <c r="A73" s="2" t="s">
        <v>266</v>
      </c>
      <c r="B73" s="2" t="s">
        <v>267</v>
      </c>
      <c r="C73" s="2" t="s">
        <v>261</v>
      </c>
      <c r="D73" s="2" t="s">
        <v>89</v>
      </c>
      <c r="E73" s="2"/>
      <c r="F73" s="4" t="n">
        <v>10</v>
      </c>
      <c r="G73" s="5" t="n">
        <v>20</v>
      </c>
      <c r="H73" s="6" t="n">
        <f aca="false">F73*G73</f>
        <v>200</v>
      </c>
      <c r="I73" s="4" t="n">
        <v>10.01</v>
      </c>
      <c r="J73" s="6" t="n">
        <v>226.226</v>
      </c>
      <c r="K73" s="7" t="n">
        <v>0.001</v>
      </c>
      <c r="L73" s="7" t="n">
        <v>0.00100002</v>
      </c>
    </row>
    <row r="74" customFormat="false" ht="15" hidden="false" customHeight="false" outlineLevel="0" collapsed="false">
      <c r="A74" s="2" t="s">
        <v>268</v>
      </c>
      <c r="B74" s="2" t="s">
        <v>269</v>
      </c>
      <c r="C74" s="2" t="s">
        <v>270</v>
      </c>
      <c r="D74" s="2" t="s">
        <v>70</v>
      </c>
      <c r="E74" s="2" t="s">
        <v>75</v>
      </c>
      <c r="F74" s="4" t="n">
        <v>20</v>
      </c>
      <c r="G74" s="5" t="n">
        <v>33.5</v>
      </c>
      <c r="H74" s="6" t="n">
        <f aca="false">F74*G74</f>
        <v>670</v>
      </c>
      <c r="I74" s="4" t="n">
        <v>27.31</v>
      </c>
      <c r="J74" s="6" t="n">
        <v>3363.79</v>
      </c>
      <c r="K74" s="7" t="n">
        <v>0.6675</v>
      </c>
      <c r="L74" s="7" t="n">
        <v>0.3655</v>
      </c>
    </row>
    <row r="75" customFormat="false" ht="15" hidden="false" customHeight="false" outlineLevel="0" collapsed="false">
      <c r="A75" s="2" t="s">
        <v>271</v>
      </c>
      <c r="B75" s="2" t="s">
        <v>272</v>
      </c>
      <c r="C75" s="2" t="s">
        <v>270</v>
      </c>
      <c r="D75" s="2" t="s">
        <v>70</v>
      </c>
      <c r="E75" s="2" t="s">
        <v>79</v>
      </c>
      <c r="F75" s="4" t="n">
        <v>21.5</v>
      </c>
      <c r="G75" s="5" t="n">
        <v>27.907</v>
      </c>
      <c r="H75" s="6" t="n">
        <f aca="false">F75*G75</f>
        <v>600.0005</v>
      </c>
      <c r="I75" s="4" t="n">
        <v>11.78</v>
      </c>
      <c r="J75" s="6" t="n">
        <v>2581.38</v>
      </c>
      <c r="K75" s="7" t="n">
        <v>-0.0651163</v>
      </c>
      <c r="L75" s="7" t="n">
        <v>-0.452093</v>
      </c>
    </row>
    <row r="76" customFormat="false" ht="15" hidden="false" customHeight="false" outlineLevel="0" collapsed="false">
      <c r="A76" s="2" t="s">
        <v>273</v>
      </c>
      <c r="B76" s="2" t="s">
        <v>274</v>
      </c>
      <c r="C76" s="2" t="s">
        <v>270</v>
      </c>
      <c r="D76" s="2" t="s">
        <v>89</v>
      </c>
      <c r="E76" s="2"/>
      <c r="F76" s="4" t="n">
        <v>10</v>
      </c>
      <c r="G76" s="5" t="n">
        <v>15</v>
      </c>
      <c r="H76" s="6" t="n">
        <f aca="false">F76*G76</f>
        <v>150</v>
      </c>
      <c r="I76" s="4" t="n">
        <v>10.077</v>
      </c>
      <c r="J76" s="6" t="n">
        <v>253.105</v>
      </c>
      <c r="K76" s="7" t="n">
        <v>0</v>
      </c>
      <c r="L76" s="7" t="n">
        <v>0.00769997</v>
      </c>
    </row>
    <row r="77" customFormat="false" ht="15" hidden="false" customHeight="false" outlineLevel="0" collapsed="false">
      <c r="A77" s="2" t="s">
        <v>275</v>
      </c>
      <c r="B77" s="2" t="s">
        <v>276</v>
      </c>
      <c r="C77" s="2" t="s">
        <v>277</v>
      </c>
      <c r="D77" s="2" t="s">
        <v>70</v>
      </c>
      <c r="E77" s="2" t="s">
        <v>83</v>
      </c>
      <c r="F77" s="4" t="n">
        <v>18</v>
      </c>
      <c r="G77" s="5" t="n">
        <v>7.9</v>
      </c>
      <c r="H77" s="6" t="n">
        <f aca="false">F77*G77</f>
        <v>142.2</v>
      </c>
      <c r="I77" s="4" t="n">
        <v>19.26</v>
      </c>
      <c r="J77" s="6" t="n">
        <v>956.983</v>
      </c>
      <c r="K77" s="7" t="n">
        <v>-0.0277778</v>
      </c>
      <c r="L77" s="7" t="n">
        <v>0.07</v>
      </c>
    </row>
    <row r="78" customFormat="false" ht="15" hidden="false" customHeight="false" outlineLevel="0" collapsed="false">
      <c r="A78" s="2" t="s">
        <v>278</v>
      </c>
      <c r="B78" s="2" t="s">
        <v>279</v>
      </c>
      <c r="C78" s="2" t="s">
        <v>280</v>
      </c>
      <c r="D78" s="2" t="s">
        <v>70</v>
      </c>
      <c r="E78" s="2" t="s">
        <v>251</v>
      </c>
      <c r="F78" s="4" t="n">
        <v>135</v>
      </c>
      <c r="G78" s="5" t="n">
        <v>555.556</v>
      </c>
      <c r="H78" s="6" t="n">
        <f aca="false">F78*G78</f>
        <v>75000.06</v>
      </c>
      <c r="I78" s="4" t="n">
        <v>119.85</v>
      </c>
      <c r="J78" s="6" t="n">
        <v>1577130</v>
      </c>
      <c r="K78" s="7" t="n">
        <v>0.111111</v>
      </c>
      <c r="L78" s="7" t="n">
        <v>-0.112222</v>
      </c>
    </row>
    <row r="79" customFormat="false" ht="15" hidden="false" customHeight="false" outlineLevel="0" collapsed="false">
      <c r="A79" s="2" t="s">
        <v>281</v>
      </c>
      <c r="B79" s="2" t="s">
        <v>282</v>
      </c>
      <c r="C79" s="2" t="s">
        <v>283</v>
      </c>
      <c r="D79" s="2" t="s">
        <v>89</v>
      </c>
      <c r="E79" s="2"/>
      <c r="F79" s="4" t="n">
        <v>10</v>
      </c>
      <c r="G79" s="5" t="n">
        <v>25</v>
      </c>
      <c r="H79" s="6" t="n">
        <f aca="false">F79*G79</f>
        <v>250</v>
      </c>
      <c r="I79" s="4" t="n">
        <v>10.08</v>
      </c>
      <c r="J79" s="6" t="n">
        <v>321.048</v>
      </c>
      <c r="K79" s="7" t="n">
        <v>0.013</v>
      </c>
      <c r="L79" s="7" t="n">
        <v>0.00799999</v>
      </c>
    </row>
    <row r="80" customFormat="false" ht="15" hidden="false" customHeight="false" outlineLevel="0" collapsed="false">
      <c r="A80" s="2" t="s">
        <v>284</v>
      </c>
      <c r="B80" s="2" t="s">
        <v>285</v>
      </c>
      <c r="C80" s="2" t="s">
        <v>286</v>
      </c>
      <c r="D80" s="2" t="s">
        <v>89</v>
      </c>
      <c r="E80" s="2"/>
      <c r="F80" s="4" t="n">
        <v>10</v>
      </c>
      <c r="G80" s="5" t="n">
        <v>20</v>
      </c>
      <c r="H80" s="6" t="n">
        <f aca="false">F80*G80</f>
        <v>200</v>
      </c>
      <c r="I80" s="4" t="n">
        <v>9.9726</v>
      </c>
      <c r="J80" s="6" t="n">
        <v>286.712</v>
      </c>
      <c r="K80" s="7" t="n">
        <v>-0.005</v>
      </c>
      <c r="L80" s="7" t="n">
        <v>-0.00274</v>
      </c>
    </row>
    <row r="81" customFormat="false" ht="15" hidden="false" customHeight="false" outlineLevel="0" collapsed="false">
      <c r="A81" s="2" t="s">
        <v>287</v>
      </c>
      <c r="B81" s="2" t="s">
        <v>288</v>
      </c>
      <c r="C81" s="2" t="s">
        <v>286</v>
      </c>
      <c r="D81" s="2" t="s">
        <v>70</v>
      </c>
      <c r="E81" s="2" t="s">
        <v>218</v>
      </c>
      <c r="F81" s="4" t="n">
        <v>16</v>
      </c>
      <c r="G81" s="5" t="n">
        <v>2.5</v>
      </c>
      <c r="H81" s="6" t="n">
        <f aca="false">F81*G81</f>
        <v>40</v>
      </c>
      <c r="I81" s="4" t="n">
        <v>10.31</v>
      </c>
      <c r="J81" s="6" t="n">
        <v>622.225</v>
      </c>
      <c r="K81" s="7" t="n">
        <v>0</v>
      </c>
      <c r="L81" s="7" t="n">
        <v>-0.355625</v>
      </c>
    </row>
    <row r="82" customFormat="false" ht="15" hidden="false" customHeight="false" outlineLevel="0" collapsed="false">
      <c r="A82" s="2" t="s">
        <v>289</v>
      </c>
      <c r="B82" s="2" t="s">
        <v>290</v>
      </c>
      <c r="C82" s="2" t="s">
        <v>286</v>
      </c>
      <c r="D82" s="2" t="s">
        <v>70</v>
      </c>
      <c r="E82" s="2" t="s">
        <v>83</v>
      </c>
      <c r="F82" s="4" t="n">
        <v>12.5</v>
      </c>
      <c r="G82" s="5" t="n">
        <v>5.5</v>
      </c>
      <c r="H82" s="6" t="n">
        <f aca="false">F82*G82</f>
        <v>68.75</v>
      </c>
      <c r="I82" s="4" t="n">
        <v>12.8</v>
      </c>
      <c r="J82" s="6" t="n">
        <v>387.146</v>
      </c>
      <c r="K82" s="7" t="n">
        <v>0.06</v>
      </c>
      <c r="L82" s="7" t="n">
        <v>0.024</v>
      </c>
    </row>
    <row r="83" customFormat="false" ht="15" hidden="false" customHeight="false" outlineLevel="0" collapsed="false">
      <c r="A83" s="2" t="s">
        <v>291</v>
      </c>
      <c r="B83" s="2" t="s">
        <v>292</v>
      </c>
      <c r="C83" s="2" t="s">
        <v>286</v>
      </c>
      <c r="D83" s="2" t="s">
        <v>70</v>
      </c>
      <c r="E83" s="2" t="s">
        <v>75</v>
      </c>
      <c r="F83" s="4" t="n">
        <v>16</v>
      </c>
      <c r="G83" s="5" t="n">
        <v>25</v>
      </c>
      <c r="H83" s="6" t="n">
        <f aca="false">F83*G83</f>
        <v>400</v>
      </c>
      <c r="I83" s="4" t="n">
        <v>21.4</v>
      </c>
      <c r="J83" s="6" t="n">
        <v>1992.11</v>
      </c>
      <c r="K83" s="7" t="n">
        <v>0.015625</v>
      </c>
      <c r="L83" s="7" t="n">
        <v>0.3375</v>
      </c>
    </row>
    <row r="84" customFormat="false" ht="15" hidden="false" customHeight="false" outlineLevel="0" collapsed="false">
      <c r="A84" s="2" t="s">
        <v>293</v>
      </c>
      <c r="B84" s="2" t="s">
        <v>294</v>
      </c>
      <c r="C84" s="2" t="s">
        <v>295</v>
      </c>
      <c r="D84" s="2" t="s">
        <v>89</v>
      </c>
      <c r="E84" s="2"/>
      <c r="F84" s="4" t="n">
        <v>10</v>
      </c>
      <c r="G84" s="5" t="n">
        <v>31.2</v>
      </c>
      <c r="H84" s="6" t="n">
        <f aca="false">F84*G84</f>
        <v>312</v>
      </c>
      <c r="I84" s="4" t="n">
        <v>10.22</v>
      </c>
      <c r="J84" s="6" t="n">
        <v>460.667</v>
      </c>
      <c r="K84" s="7" t="n">
        <v>0.005</v>
      </c>
      <c r="L84" s="7" t="n">
        <v>0.022</v>
      </c>
    </row>
    <row r="85" customFormat="false" ht="15" hidden="false" customHeight="false" outlineLevel="0" collapsed="false">
      <c r="A85" s="2" t="s">
        <v>296</v>
      </c>
      <c r="B85" s="2" t="s">
        <v>297</v>
      </c>
      <c r="C85" s="2" t="s">
        <v>298</v>
      </c>
      <c r="D85" s="2" t="s">
        <v>89</v>
      </c>
      <c r="E85" s="2"/>
      <c r="F85" s="4" t="n">
        <v>10</v>
      </c>
      <c r="G85" s="5" t="n">
        <v>25</v>
      </c>
      <c r="H85" s="6" t="n">
        <f aca="false">F85*G85</f>
        <v>250</v>
      </c>
      <c r="I85" s="4" t="n">
        <v>9.97</v>
      </c>
      <c r="J85" s="6" t="n">
        <v>342.719</v>
      </c>
      <c r="K85" s="7" t="n">
        <v>-0.005</v>
      </c>
      <c r="L85" s="7" t="n">
        <v>-0.00299997</v>
      </c>
    </row>
    <row r="86" customFormat="false" ht="15" hidden="false" customHeight="false" outlineLevel="0" collapsed="false">
      <c r="A86" s="2" t="s">
        <v>299</v>
      </c>
      <c r="B86" s="2" t="s">
        <v>300</v>
      </c>
      <c r="C86" s="2" t="s">
        <v>298</v>
      </c>
      <c r="D86" s="2" t="s">
        <v>89</v>
      </c>
      <c r="E86" s="2"/>
      <c r="F86" s="4" t="n">
        <v>10</v>
      </c>
      <c r="G86" s="5" t="n">
        <v>7.5</v>
      </c>
      <c r="H86" s="6" t="n">
        <f aca="false">F86*G86</f>
        <v>75</v>
      </c>
      <c r="I86" s="4" t="n">
        <v>10.045</v>
      </c>
      <c r="J86" s="6" t="n">
        <v>128.972</v>
      </c>
      <c r="K86" s="7" t="n">
        <v>0.002</v>
      </c>
      <c r="L86" s="7" t="n">
        <v>0.00450001</v>
      </c>
    </row>
    <row r="87" customFormat="false" ht="15" hidden="false" customHeight="false" outlineLevel="0" collapsed="false">
      <c r="A87" s="2" t="s">
        <v>301</v>
      </c>
      <c r="B87" s="2" t="s">
        <v>302</v>
      </c>
      <c r="C87" s="2" t="s">
        <v>298</v>
      </c>
      <c r="D87" s="2" t="s">
        <v>70</v>
      </c>
      <c r="E87" s="2" t="s">
        <v>79</v>
      </c>
      <c r="F87" s="4" t="n">
        <v>33</v>
      </c>
      <c r="G87" s="5" t="n">
        <v>27.8586</v>
      </c>
      <c r="H87" s="6" t="n">
        <f aca="false">F87*G87</f>
        <v>919.3338</v>
      </c>
      <c r="I87" s="4" t="n">
        <v>45.06</v>
      </c>
      <c r="J87" s="6" t="n">
        <v>6728.84</v>
      </c>
      <c r="K87" s="7" t="n">
        <v>0.333333</v>
      </c>
      <c r="L87" s="7" t="n">
        <v>0.365455</v>
      </c>
    </row>
    <row r="88" customFormat="false" ht="15" hidden="false" customHeight="false" outlineLevel="0" collapsed="false">
      <c r="A88" s="2" t="s">
        <v>303</v>
      </c>
      <c r="B88" s="2" t="s">
        <v>304</v>
      </c>
      <c r="C88" s="2" t="s">
        <v>305</v>
      </c>
      <c r="D88" s="2" t="s">
        <v>70</v>
      </c>
      <c r="E88" s="2" t="s">
        <v>198</v>
      </c>
      <c r="F88" s="4" t="n">
        <v>12</v>
      </c>
      <c r="G88" s="5" t="n">
        <v>17.75</v>
      </c>
      <c r="H88" s="6" t="n">
        <f aca="false">F88*G88</f>
        <v>213</v>
      </c>
      <c r="I88" s="4" t="n">
        <v>12.43</v>
      </c>
      <c r="J88" s="6" t="n">
        <v>1851.27</v>
      </c>
      <c r="K88" s="7" t="n">
        <v>-0.1</v>
      </c>
      <c r="L88" s="7" t="n">
        <v>0.0358334</v>
      </c>
    </row>
    <row r="89" customFormat="false" ht="15" hidden="false" customHeight="false" outlineLevel="0" collapsed="false">
      <c r="A89" s="2" t="s">
        <v>306</v>
      </c>
      <c r="B89" s="2" t="s">
        <v>307</v>
      </c>
      <c r="C89" s="2" t="s">
        <v>308</v>
      </c>
      <c r="D89" s="2" t="s">
        <v>89</v>
      </c>
      <c r="E89" s="2"/>
      <c r="F89" s="4" t="n">
        <v>10</v>
      </c>
      <c r="G89" s="5" t="n">
        <v>34.5</v>
      </c>
      <c r="H89" s="6" t="n">
        <f aca="false">F89*G89</f>
        <v>345</v>
      </c>
      <c r="I89" s="4" t="n">
        <v>10.03</v>
      </c>
      <c r="J89" s="6" t="n">
        <v>495.231</v>
      </c>
      <c r="K89" s="7" t="n">
        <v>0.007</v>
      </c>
      <c r="L89" s="7" t="n">
        <v>0.00299997</v>
      </c>
    </row>
    <row r="90" customFormat="false" ht="15" hidden="false" customHeight="false" outlineLevel="0" collapsed="false">
      <c r="A90" s="2" t="s">
        <v>309</v>
      </c>
      <c r="B90" s="2" t="s">
        <v>310</v>
      </c>
      <c r="C90" s="2" t="s">
        <v>311</v>
      </c>
      <c r="D90" s="2" t="s">
        <v>70</v>
      </c>
      <c r="E90" s="2"/>
      <c r="F90" s="4" t="n">
        <v>16</v>
      </c>
      <c r="G90" s="5" t="n">
        <v>19.5122</v>
      </c>
      <c r="H90" s="6" t="n">
        <f aca="false">F90*G90</f>
        <v>312.1952</v>
      </c>
      <c r="I90" s="4" t="n">
        <v>11.4</v>
      </c>
      <c r="J90" s="6" t="n">
        <v>1415.39</v>
      </c>
      <c r="K90" s="7" t="n">
        <v>0.125</v>
      </c>
      <c r="L90" s="7" t="n">
        <v>-0.2875</v>
      </c>
    </row>
    <row r="91" customFormat="false" ht="15" hidden="false" customHeight="false" outlineLevel="0" collapsed="false">
      <c r="A91" s="2" t="s">
        <v>312</v>
      </c>
      <c r="B91" s="2" t="s">
        <v>313</v>
      </c>
      <c r="C91" s="2" t="s">
        <v>311</v>
      </c>
      <c r="D91" s="2" t="s">
        <v>89</v>
      </c>
      <c r="E91" s="2"/>
      <c r="F91" s="4" t="n">
        <v>10</v>
      </c>
      <c r="G91" s="5" t="n">
        <v>26.1</v>
      </c>
      <c r="H91" s="6" t="n">
        <f aca="false">F91*G91</f>
        <v>261</v>
      </c>
      <c r="I91" s="4" t="n">
        <v>10.11</v>
      </c>
      <c r="J91" s="6" t="n">
        <v>414.672</v>
      </c>
      <c r="K91" s="7" t="n">
        <v>0.003</v>
      </c>
      <c r="L91" s="7" t="n">
        <v>0.011</v>
      </c>
    </row>
    <row r="92" customFormat="false" ht="15" hidden="false" customHeight="false" outlineLevel="0" collapsed="false">
      <c r="A92" s="2" t="s">
        <v>314</v>
      </c>
      <c r="B92" s="2" t="s">
        <v>315</v>
      </c>
      <c r="C92" s="2" t="s">
        <v>311</v>
      </c>
      <c r="D92" s="2" t="s">
        <v>70</v>
      </c>
      <c r="E92" s="2" t="s">
        <v>79</v>
      </c>
      <c r="F92" s="4" t="n">
        <v>25</v>
      </c>
      <c r="G92" s="5" t="n">
        <v>6.95652</v>
      </c>
      <c r="H92" s="6" t="n">
        <f aca="false">F92*G92</f>
        <v>173.913</v>
      </c>
      <c r="I92" s="4" t="n">
        <v>25.02</v>
      </c>
      <c r="J92" s="6" t="n">
        <v>1601.93</v>
      </c>
      <c r="K92" s="7" t="n">
        <v>0.08</v>
      </c>
      <c r="L92" s="7" t="n">
        <v>0.000800018</v>
      </c>
    </row>
    <row r="93" customFormat="false" ht="15" hidden="false" customHeight="false" outlineLevel="0" collapsed="false">
      <c r="A93" s="2" t="s">
        <v>316</v>
      </c>
      <c r="B93" s="2" t="s">
        <v>317</v>
      </c>
      <c r="C93" s="2" t="s">
        <v>311</v>
      </c>
      <c r="D93" s="2" t="s">
        <v>70</v>
      </c>
      <c r="E93" s="2" t="s">
        <v>130</v>
      </c>
      <c r="F93" s="4" t="n">
        <v>29</v>
      </c>
      <c r="G93" s="5" t="n">
        <v>57.971</v>
      </c>
      <c r="H93" s="6" t="n">
        <f aca="false">F93*G93</f>
        <v>1681.159</v>
      </c>
      <c r="I93" s="4" t="n">
        <v>33.42</v>
      </c>
      <c r="K93" s="7" t="n">
        <v>0.0689655</v>
      </c>
      <c r="L93" s="7" t="n">
        <v>0.152414</v>
      </c>
    </row>
    <row r="94" customFormat="false" ht="15" hidden="false" customHeight="false" outlineLevel="0" collapsed="false">
      <c r="A94" s="2" t="s">
        <v>318</v>
      </c>
      <c r="B94" s="2" t="s">
        <v>319</v>
      </c>
      <c r="C94" s="2" t="s">
        <v>320</v>
      </c>
      <c r="D94" s="2" t="s">
        <v>89</v>
      </c>
      <c r="E94" s="2"/>
      <c r="F94" s="4" t="n">
        <v>10</v>
      </c>
      <c r="G94" s="5" t="n">
        <v>17.5</v>
      </c>
      <c r="H94" s="6" t="n">
        <f aca="false">F94*G94</f>
        <v>175</v>
      </c>
      <c r="I94" s="4" t="n">
        <v>9.98</v>
      </c>
      <c r="J94" s="6" t="n">
        <v>251.059</v>
      </c>
      <c r="K94" s="7" t="n">
        <v>0.001</v>
      </c>
      <c r="L94" s="7" t="n">
        <v>-0.00200005</v>
      </c>
    </row>
    <row r="95" customFormat="false" ht="15" hidden="false" customHeight="false" outlineLevel="0" collapsed="false">
      <c r="A95" s="2" t="s">
        <v>321</v>
      </c>
      <c r="B95" s="2" t="s">
        <v>322</v>
      </c>
      <c r="C95" s="2" t="s">
        <v>323</v>
      </c>
      <c r="D95" s="2" t="s">
        <v>89</v>
      </c>
      <c r="E95" s="2"/>
      <c r="F95" s="4" t="n">
        <v>10</v>
      </c>
      <c r="G95" s="5" t="n">
        <v>30</v>
      </c>
      <c r="H95" s="6" t="n">
        <f aca="false">F95*G95</f>
        <v>300</v>
      </c>
      <c r="I95" s="4" t="n">
        <v>10.07</v>
      </c>
      <c r="J95" s="6" t="n">
        <v>463.22</v>
      </c>
      <c r="K95" s="7" t="n">
        <v>0.004</v>
      </c>
      <c r="L95" s="7" t="n">
        <v>0.00699997</v>
      </c>
    </row>
    <row r="96" customFormat="false" ht="15" hidden="false" customHeight="false" outlineLevel="0" collapsed="false">
      <c r="A96" s="2" t="s">
        <v>324</v>
      </c>
      <c r="B96" s="2" t="s">
        <v>325</v>
      </c>
      <c r="C96" s="2" t="s">
        <v>326</v>
      </c>
      <c r="D96" s="2" t="s">
        <v>89</v>
      </c>
      <c r="E96" s="2"/>
      <c r="F96" s="4" t="n">
        <v>10</v>
      </c>
      <c r="G96" s="5" t="n">
        <v>27.5</v>
      </c>
      <c r="H96" s="6" t="n">
        <f aca="false">F96*G96</f>
        <v>275</v>
      </c>
      <c r="I96" s="4" t="n">
        <v>9.98</v>
      </c>
      <c r="J96" s="6" t="n">
        <v>374.167</v>
      </c>
      <c r="K96" s="7" t="n">
        <v>-0.004</v>
      </c>
      <c r="L96" s="7" t="n">
        <v>-0.00200005</v>
      </c>
    </row>
    <row r="97" customFormat="false" ht="15" hidden="false" customHeight="false" outlineLevel="0" collapsed="false">
      <c r="A97" s="2" t="s">
        <v>327</v>
      </c>
      <c r="B97" s="2" t="s">
        <v>328</v>
      </c>
      <c r="C97" s="2" t="s">
        <v>329</v>
      </c>
      <c r="D97" s="2" t="s">
        <v>89</v>
      </c>
      <c r="E97" s="2"/>
      <c r="F97" s="4" t="n">
        <v>10</v>
      </c>
      <c r="G97" s="5" t="n">
        <v>15</v>
      </c>
      <c r="H97" s="6" t="n">
        <f aca="false">F97*G97</f>
        <v>150</v>
      </c>
      <c r="I97" s="4" t="n">
        <v>10.01</v>
      </c>
      <c r="J97" s="6" t="n">
        <v>230.23</v>
      </c>
      <c r="K97" s="7" t="n">
        <v>0.003</v>
      </c>
      <c r="L97" s="7" t="n">
        <v>0.00100002</v>
      </c>
    </row>
    <row r="98" customFormat="false" ht="15" hidden="false" customHeight="false" outlineLevel="0" collapsed="false">
      <c r="A98" s="2" t="s">
        <v>330</v>
      </c>
      <c r="B98" s="2" t="s">
        <v>331</v>
      </c>
      <c r="C98" s="2" t="s">
        <v>329</v>
      </c>
      <c r="D98" s="2" t="s">
        <v>89</v>
      </c>
      <c r="E98" s="2"/>
      <c r="F98" s="4" t="n">
        <v>10</v>
      </c>
      <c r="G98" s="5" t="n">
        <v>20</v>
      </c>
      <c r="H98" s="6" t="n">
        <f aca="false">F98*G98</f>
        <v>200</v>
      </c>
      <c r="I98" s="4" t="n">
        <v>10.02</v>
      </c>
      <c r="J98" s="6" t="n">
        <v>313.943</v>
      </c>
      <c r="K98" s="7" t="n">
        <v>0.003</v>
      </c>
      <c r="L98" s="7" t="n">
        <v>0.00200005</v>
      </c>
    </row>
    <row r="99" customFormat="false" ht="15" hidden="false" customHeight="false" outlineLevel="0" collapsed="false">
      <c r="A99" s="2" t="s">
        <v>332</v>
      </c>
      <c r="B99" s="2" t="s">
        <v>333</v>
      </c>
      <c r="C99" s="2" t="s">
        <v>334</v>
      </c>
      <c r="D99" s="2" t="s">
        <v>89</v>
      </c>
      <c r="E99" s="2"/>
      <c r="F99" s="4" t="n">
        <v>10</v>
      </c>
      <c r="G99" s="5" t="n">
        <v>20</v>
      </c>
      <c r="H99" s="6" t="n">
        <f aca="false">F99*G99</f>
        <v>200</v>
      </c>
      <c r="I99" s="4" t="n">
        <v>9.95</v>
      </c>
      <c r="J99" s="6" t="n">
        <v>286.062</v>
      </c>
      <c r="K99" s="7" t="n">
        <v>-0.004</v>
      </c>
      <c r="L99" s="7" t="n">
        <v>-0.00500002</v>
      </c>
    </row>
    <row r="100" customFormat="false" ht="15" hidden="false" customHeight="false" outlineLevel="0" collapsed="false">
      <c r="A100" s="2" t="s">
        <v>335</v>
      </c>
      <c r="B100" s="2" t="s">
        <v>336</v>
      </c>
      <c r="C100" s="2" t="s">
        <v>337</v>
      </c>
      <c r="D100" s="2" t="s">
        <v>89</v>
      </c>
      <c r="E100" s="2"/>
      <c r="F100" s="4" t="n">
        <v>10</v>
      </c>
      <c r="G100" s="5" t="n">
        <v>7.5</v>
      </c>
      <c r="H100" s="6" t="n">
        <f aca="false">F100*G100</f>
        <v>75</v>
      </c>
      <c r="I100" s="4" t="n">
        <v>10.36</v>
      </c>
      <c r="J100" s="6" t="n">
        <v>94.2608</v>
      </c>
      <c r="K100" s="7" t="n">
        <v>0.035</v>
      </c>
      <c r="L100" s="7" t="n">
        <v>0.036</v>
      </c>
    </row>
    <row r="101" customFormat="false" ht="15" hidden="false" customHeight="false" outlineLevel="0" collapsed="false">
      <c r="A101" s="2" t="s">
        <v>338</v>
      </c>
      <c r="B101" s="2" t="s">
        <v>339</v>
      </c>
      <c r="C101" s="2" t="s">
        <v>340</v>
      </c>
      <c r="D101" s="2" t="s">
        <v>89</v>
      </c>
      <c r="E101" s="2"/>
      <c r="F101" s="4" t="n">
        <v>10</v>
      </c>
      <c r="G101" s="5" t="n">
        <v>20</v>
      </c>
      <c r="H101" s="6" t="n">
        <f aca="false">F101*G101</f>
        <v>200</v>
      </c>
      <c r="I101" s="4" t="n">
        <v>9.93</v>
      </c>
      <c r="J101" s="6" t="n">
        <v>271.205</v>
      </c>
      <c r="K101" s="7" t="n">
        <v>-0.007</v>
      </c>
      <c r="L101" s="7" t="n">
        <v>-0.00699997</v>
      </c>
    </row>
    <row r="102" customFormat="false" ht="15" hidden="false" customHeight="false" outlineLevel="0" collapsed="false">
      <c r="A102" s="2" t="s">
        <v>341</v>
      </c>
      <c r="B102" s="2" t="s">
        <v>342</v>
      </c>
      <c r="C102" s="2" t="s">
        <v>343</v>
      </c>
      <c r="D102" s="2" t="s">
        <v>70</v>
      </c>
      <c r="E102" s="2"/>
      <c r="F102" s="4" t="n">
        <v>21</v>
      </c>
      <c r="G102" s="5" t="n">
        <v>50</v>
      </c>
      <c r="H102" s="6" t="n">
        <f aca="false">F102*G102</f>
        <v>1050</v>
      </c>
      <c r="I102" s="4" t="n">
        <v>20</v>
      </c>
      <c r="J102" s="6" t="n">
        <v>3096.79</v>
      </c>
      <c r="K102" s="7" t="n">
        <v>-0.00476191</v>
      </c>
      <c r="L102" s="7" t="n">
        <v>-0.047619</v>
      </c>
    </row>
    <row r="103" customFormat="false" ht="15" hidden="false" customHeight="false" outlineLevel="0" collapsed="false">
      <c r="A103" s="2" t="s">
        <v>344</v>
      </c>
      <c r="B103" s="2" t="s">
        <v>345</v>
      </c>
      <c r="C103" s="2" t="s">
        <v>343</v>
      </c>
      <c r="D103" s="2" t="s">
        <v>70</v>
      </c>
      <c r="E103" s="2"/>
      <c r="F103" s="4" t="n">
        <v>15</v>
      </c>
      <c r="G103" s="5" t="n">
        <v>10</v>
      </c>
      <c r="H103" s="6" t="n">
        <f aca="false">F103*G103</f>
        <v>150</v>
      </c>
      <c r="I103" s="4" t="n">
        <v>9.02</v>
      </c>
      <c r="J103" s="6" t="n">
        <v>1449.28</v>
      </c>
      <c r="K103" s="7" t="n">
        <v>-0.1</v>
      </c>
      <c r="L103" s="7" t="n">
        <v>-0.398667</v>
      </c>
    </row>
    <row r="104" customFormat="false" ht="15" hidden="false" customHeight="false" outlineLevel="0" collapsed="false">
      <c r="A104" s="2" t="s">
        <v>346</v>
      </c>
      <c r="B104" s="2" t="s">
        <v>347</v>
      </c>
      <c r="C104" s="2" t="s">
        <v>348</v>
      </c>
      <c r="D104" s="2" t="s">
        <v>89</v>
      </c>
      <c r="E104" s="2"/>
      <c r="F104" s="4" t="n">
        <v>10</v>
      </c>
      <c r="G104" s="5" t="n">
        <v>25</v>
      </c>
      <c r="H104" s="6" t="n">
        <f aca="false">F104*G104</f>
        <v>250</v>
      </c>
      <c r="I104" s="4" t="n">
        <v>9.98</v>
      </c>
      <c r="J104" s="6" t="n">
        <v>339.528</v>
      </c>
      <c r="K104" s="7" t="n">
        <v>-0.005</v>
      </c>
      <c r="L104" s="7" t="n">
        <v>-0.00200005</v>
      </c>
    </row>
    <row r="105" customFormat="false" ht="15" hidden="false" customHeight="false" outlineLevel="0" collapsed="false">
      <c r="A105" s="2" t="s">
        <v>349</v>
      </c>
      <c r="B105" s="2" t="s">
        <v>350</v>
      </c>
      <c r="C105" s="2" t="s">
        <v>351</v>
      </c>
      <c r="D105" s="2" t="s">
        <v>89</v>
      </c>
      <c r="E105" s="2"/>
      <c r="F105" s="4" t="n">
        <v>10</v>
      </c>
      <c r="G105" s="5" t="n">
        <v>32.5</v>
      </c>
      <c r="H105" s="6" t="n">
        <f aca="false">F105*G105</f>
        <v>325</v>
      </c>
      <c r="I105" s="4" t="n">
        <v>10</v>
      </c>
      <c r="J105" s="6" t="n">
        <v>331.875</v>
      </c>
    </row>
    <row r="106" customFormat="false" ht="15" hidden="false" customHeight="false" outlineLevel="0" collapsed="false">
      <c r="A106" s="2" t="s">
        <v>352</v>
      </c>
      <c r="B106" s="2" t="s">
        <v>353</v>
      </c>
      <c r="C106" s="2" t="s">
        <v>351</v>
      </c>
      <c r="D106" s="2" t="s">
        <v>89</v>
      </c>
      <c r="E106" s="2"/>
      <c r="F106" s="4" t="n">
        <v>10</v>
      </c>
      <c r="G106" s="5" t="n">
        <v>10</v>
      </c>
      <c r="H106" s="6" t="n">
        <f aca="false">F106*G106</f>
        <v>100</v>
      </c>
      <c r="I106" s="4" t="n">
        <v>10</v>
      </c>
      <c r="J106" s="6" t="n">
        <v>102.243</v>
      </c>
    </row>
    <row r="108" customFormat="false" ht="15" hidden="false" customHeight="false" outlineLevel="0" collapsed="false">
      <c r="B108" s="1" t="s">
        <v>354</v>
      </c>
    </row>
    <row r="109" customFormat="false" ht="15" hidden="false" customHeight="false" outlineLevel="0" collapsed="false">
      <c r="B109" s="2" t="s">
        <v>355</v>
      </c>
      <c r="C109" s="2" t="n">
        <f aca="false">COUNTA(A2:A106)</f>
        <v>105</v>
      </c>
    </row>
    <row r="110" customFormat="false" ht="15" hidden="false" customHeight="false" outlineLevel="0" collapsed="false">
      <c r="B110" s="2" t="s">
        <v>356</v>
      </c>
      <c r="C110" s="6" t="n">
        <f aca="false">SUM(H2:H106)</f>
        <v>122934.162015</v>
      </c>
    </row>
    <row r="111" customFormat="false" ht="15" hidden="false" customHeight="false" outlineLevel="0" collapsed="false">
      <c r="B111" s="2" t="s">
        <v>357</v>
      </c>
      <c r="C111" s="7" t="n">
        <f aca="false">MEDIAN(K2:K106)</f>
        <v>0.0178125</v>
      </c>
    </row>
    <row r="112" customFormat="false" ht="15" hidden="false" customHeight="false" outlineLevel="0" collapsed="false">
      <c r="B112" s="2" t="s">
        <v>358</v>
      </c>
      <c r="C112" s="7" t="n">
        <f aca="false">MEDIAN(L2:L106)</f>
        <v>0.00200005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42"/>
    <col collapsed="false" customWidth="true" hidden="false" outlineLevel="0" max="12" min="12" style="0" width="11"/>
    <col collapsed="false" customWidth="true" hidden="false" outlineLevel="0" max="13" min="13" style="0" width="70"/>
  </cols>
  <sheetData>
    <row r="1" customFormat="false" ht="35.05" hidden="false" customHeight="false" outlineLevel="0" collapsed="false">
      <c r="A1" s="3" t="s">
        <v>56</v>
      </c>
      <c r="B1" s="3" t="s">
        <v>359</v>
      </c>
      <c r="C1" s="3" t="s">
        <v>360</v>
      </c>
      <c r="D1" s="3" t="s">
        <v>361</v>
      </c>
      <c r="E1" s="3" t="s">
        <v>362</v>
      </c>
      <c r="F1" s="3" t="s">
        <v>55</v>
      </c>
      <c r="G1" s="3" t="s">
        <v>363</v>
      </c>
      <c r="H1" s="3" t="s">
        <v>364</v>
      </c>
      <c r="I1" s="3" t="s">
        <v>365</v>
      </c>
      <c r="J1" s="3" t="s">
        <v>366</v>
      </c>
      <c r="K1" s="3" t="s">
        <v>367</v>
      </c>
      <c r="L1" s="3" t="s">
        <v>368</v>
      </c>
      <c r="M1" s="3" t="s">
        <v>369</v>
      </c>
    </row>
    <row r="2" customFormat="false" ht="15" hidden="false" customHeight="false" outlineLevel="0" collapsed="false">
      <c r="A2" s="2" t="s">
        <v>370</v>
      </c>
      <c r="B2" s="2" t="s">
        <v>18</v>
      </c>
      <c r="C2" s="2" t="s">
        <v>29</v>
      </c>
      <c r="D2" s="2" t="s">
        <v>79</v>
      </c>
      <c r="E2" s="2" t="s">
        <v>371</v>
      </c>
      <c r="F2" s="2" t="s">
        <v>372</v>
      </c>
      <c r="G2" s="2" t="s">
        <v>373</v>
      </c>
      <c r="H2" s="8" t="n">
        <v>3.8</v>
      </c>
      <c r="I2" s="2" t="s">
        <v>374</v>
      </c>
      <c r="J2" s="2" t="s">
        <v>375</v>
      </c>
      <c r="K2" s="2" t="s">
        <v>376</v>
      </c>
      <c r="L2" s="2" t="s">
        <v>351</v>
      </c>
      <c r="M2" s="2" t="s">
        <v>377</v>
      </c>
    </row>
    <row r="3" customFormat="false" ht="15" hidden="false" customHeight="false" outlineLevel="0" collapsed="false">
      <c r="A3" s="2" t="s">
        <v>378</v>
      </c>
      <c r="B3" s="2" t="s">
        <v>18</v>
      </c>
      <c r="C3" s="2" t="s">
        <v>29</v>
      </c>
      <c r="D3" s="2" t="s">
        <v>130</v>
      </c>
      <c r="E3" s="2" t="s">
        <v>379</v>
      </c>
      <c r="F3" s="2" t="s">
        <v>380</v>
      </c>
      <c r="G3" s="2" t="s">
        <v>373</v>
      </c>
      <c r="H3" s="8" t="n">
        <v>1.4</v>
      </c>
      <c r="I3" s="2" t="s">
        <v>381</v>
      </c>
      <c r="J3" s="2" t="s">
        <v>382</v>
      </c>
      <c r="K3" s="2" t="s">
        <v>376</v>
      </c>
      <c r="L3" s="2" t="s">
        <v>351</v>
      </c>
      <c r="M3" s="2" t="s">
        <v>383</v>
      </c>
    </row>
    <row r="4" customFormat="false" ht="15" hidden="false" customHeight="false" outlineLevel="0" collapsed="false">
      <c r="A4" s="2" t="s">
        <v>384</v>
      </c>
      <c r="B4" s="2" t="s">
        <v>18</v>
      </c>
      <c r="C4" s="2" t="s">
        <v>29</v>
      </c>
      <c r="D4" s="2" t="s">
        <v>130</v>
      </c>
      <c r="E4" s="2"/>
      <c r="F4" s="2"/>
      <c r="G4" s="2" t="s">
        <v>385</v>
      </c>
      <c r="I4" s="2"/>
      <c r="J4" s="2" t="s">
        <v>386</v>
      </c>
      <c r="K4" s="2" t="s">
        <v>387</v>
      </c>
      <c r="L4" s="2" t="s">
        <v>351</v>
      </c>
      <c r="M4" s="2" t="s">
        <v>388</v>
      </c>
    </row>
    <row r="5" customFormat="false" ht="15" hidden="false" customHeight="false" outlineLevel="0" collapsed="false">
      <c r="A5" s="2" t="s">
        <v>389</v>
      </c>
      <c r="B5" s="2" t="s">
        <v>18</v>
      </c>
      <c r="C5" s="2" t="s">
        <v>29</v>
      </c>
      <c r="D5" s="2" t="s">
        <v>75</v>
      </c>
      <c r="E5" s="2"/>
      <c r="F5" s="2"/>
      <c r="G5" s="2" t="s">
        <v>385</v>
      </c>
      <c r="I5" s="2"/>
      <c r="J5" s="2" t="s">
        <v>390</v>
      </c>
      <c r="K5" s="2" t="s">
        <v>391</v>
      </c>
      <c r="L5" s="2" t="s">
        <v>351</v>
      </c>
      <c r="M5" s="2" t="s">
        <v>392</v>
      </c>
    </row>
    <row r="6" customFormat="false" ht="15" hidden="false" customHeight="false" outlineLevel="0" collapsed="false">
      <c r="A6" s="2" t="s">
        <v>393</v>
      </c>
      <c r="B6" s="2" t="s">
        <v>16</v>
      </c>
      <c r="C6" s="2" t="s">
        <v>31</v>
      </c>
      <c r="D6" s="2" t="s">
        <v>130</v>
      </c>
      <c r="E6" s="2"/>
      <c r="F6" s="2"/>
      <c r="G6" s="2" t="s">
        <v>394</v>
      </c>
      <c r="H6" s="8" t="n">
        <v>965</v>
      </c>
      <c r="I6" s="2" t="s">
        <v>395</v>
      </c>
      <c r="J6" s="2" t="s">
        <v>396</v>
      </c>
      <c r="K6" s="2" t="s">
        <v>397</v>
      </c>
      <c r="L6" s="2" t="s">
        <v>351</v>
      </c>
      <c r="M6" s="2" t="s">
        <v>398</v>
      </c>
    </row>
    <row r="7" customFormat="false" ht="15" hidden="false" customHeight="false" outlineLevel="0" collapsed="false">
      <c r="A7" s="2" t="s">
        <v>399</v>
      </c>
      <c r="B7" s="2" t="s">
        <v>16</v>
      </c>
      <c r="C7" s="2" t="s">
        <v>31</v>
      </c>
      <c r="D7" s="2" t="s">
        <v>130</v>
      </c>
      <c r="E7" s="2"/>
      <c r="F7" s="2"/>
      <c r="G7" s="2" t="s">
        <v>400</v>
      </c>
      <c r="H7" s="8" t="n">
        <v>852</v>
      </c>
      <c r="I7" s="2" t="s">
        <v>401</v>
      </c>
      <c r="J7" s="2" t="s">
        <v>402</v>
      </c>
      <c r="K7" s="2" t="s">
        <v>403</v>
      </c>
      <c r="L7" s="2" t="s">
        <v>351</v>
      </c>
      <c r="M7" s="2" t="s">
        <v>404</v>
      </c>
    </row>
    <row r="8" customFormat="false" ht="15" hidden="false" customHeight="false" outlineLevel="0" collapsed="false">
      <c r="A8" s="2" t="s">
        <v>405</v>
      </c>
      <c r="B8" s="2" t="s">
        <v>16</v>
      </c>
      <c r="C8" s="2" t="s">
        <v>31</v>
      </c>
      <c r="D8" s="2" t="s">
        <v>83</v>
      </c>
      <c r="E8" s="2" t="s">
        <v>379</v>
      </c>
      <c r="F8" s="2"/>
      <c r="G8" s="2" t="s">
        <v>406</v>
      </c>
      <c r="H8" s="8" t="n">
        <v>20</v>
      </c>
      <c r="I8" s="2" t="s">
        <v>407</v>
      </c>
      <c r="J8" s="2" t="s">
        <v>408</v>
      </c>
      <c r="K8" s="2" t="s">
        <v>409</v>
      </c>
      <c r="L8" s="2" t="s">
        <v>351</v>
      </c>
      <c r="M8" s="2" t="s">
        <v>410</v>
      </c>
    </row>
    <row r="9" customFormat="false" ht="15" hidden="false" customHeight="false" outlineLevel="0" collapsed="false">
      <c r="A9" s="2" t="s">
        <v>411</v>
      </c>
      <c r="B9" s="2" t="s">
        <v>16</v>
      </c>
      <c r="C9" s="2" t="s">
        <v>31</v>
      </c>
      <c r="D9" s="2" t="s">
        <v>251</v>
      </c>
      <c r="E9" s="2"/>
      <c r="F9" s="2"/>
      <c r="G9" s="2" t="s">
        <v>412</v>
      </c>
      <c r="H9" s="8" t="n">
        <v>15</v>
      </c>
      <c r="I9" s="2" t="s">
        <v>413</v>
      </c>
      <c r="J9" s="2" t="s">
        <v>414</v>
      </c>
      <c r="K9" s="2" t="s">
        <v>376</v>
      </c>
      <c r="L9" s="2" t="s">
        <v>351</v>
      </c>
      <c r="M9" s="2" t="s">
        <v>415</v>
      </c>
    </row>
    <row r="10" customFormat="false" ht="15" hidden="false" customHeight="false" outlineLevel="0" collapsed="false">
      <c r="A10" s="2" t="s">
        <v>416</v>
      </c>
      <c r="B10" s="2" t="s">
        <v>16</v>
      </c>
      <c r="C10" s="2" t="s">
        <v>31</v>
      </c>
      <c r="D10" s="2" t="s">
        <v>130</v>
      </c>
      <c r="E10" s="2"/>
      <c r="F10" s="2"/>
      <c r="G10" s="2" t="s">
        <v>373</v>
      </c>
      <c r="H10" s="8" t="n">
        <v>11</v>
      </c>
      <c r="I10" s="2" t="s">
        <v>417</v>
      </c>
      <c r="J10" s="2" t="s">
        <v>418</v>
      </c>
      <c r="K10" s="2" t="s">
        <v>376</v>
      </c>
      <c r="L10" s="2" t="s">
        <v>351</v>
      </c>
      <c r="M10" s="2" t="s">
        <v>419</v>
      </c>
    </row>
    <row r="11" customFormat="false" ht="15" hidden="false" customHeight="false" outlineLevel="0" collapsed="false">
      <c r="A11" s="2" t="s">
        <v>420</v>
      </c>
      <c r="B11" s="2" t="s">
        <v>16</v>
      </c>
      <c r="C11" s="2" t="s">
        <v>31</v>
      </c>
      <c r="D11" s="2" t="s">
        <v>83</v>
      </c>
      <c r="E11" s="2"/>
      <c r="F11" s="2"/>
      <c r="G11" s="2" t="s">
        <v>373</v>
      </c>
      <c r="H11" s="8" t="n">
        <v>6.9</v>
      </c>
      <c r="I11" s="2" t="s">
        <v>417</v>
      </c>
      <c r="J11" s="2" t="s">
        <v>418</v>
      </c>
      <c r="K11" s="2" t="s">
        <v>376</v>
      </c>
      <c r="L11" s="2" t="s">
        <v>351</v>
      </c>
      <c r="M11" s="2" t="s">
        <v>419</v>
      </c>
    </row>
    <row r="12" customFormat="false" ht="15" hidden="false" customHeight="false" outlineLevel="0" collapsed="false">
      <c r="A12" s="2" t="s">
        <v>421</v>
      </c>
      <c r="B12" s="2" t="s">
        <v>16</v>
      </c>
      <c r="C12" s="2" t="s">
        <v>31</v>
      </c>
      <c r="D12" s="2" t="s">
        <v>109</v>
      </c>
      <c r="E12" s="2"/>
      <c r="F12" s="2"/>
      <c r="G12" s="2" t="s">
        <v>373</v>
      </c>
      <c r="H12" s="8" t="n">
        <v>2.2</v>
      </c>
      <c r="I12" s="2" t="s">
        <v>422</v>
      </c>
      <c r="J12" s="2" t="s">
        <v>69</v>
      </c>
      <c r="K12" s="2" t="s">
        <v>376</v>
      </c>
      <c r="L12" s="2" t="s">
        <v>351</v>
      </c>
      <c r="M12" s="2" t="s">
        <v>423</v>
      </c>
    </row>
    <row r="13" customFormat="false" ht="15" hidden="false" customHeight="false" outlineLevel="0" collapsed="false">
      <c r="A13" s="2" t="s">
        <v>424</v>
      </c>
      <c r="B13" s="2" t="s">
        <v>14</v>
      </c>
      <c r="C13" s="2" t="s">
        <v>33</v>
      </c>
      <c r="D13" s="2" t="s">
        <v>130</v>
      </c>
      <c r="E13" s="2"/>
      <c r="F13" s="2"/>
      <c r="G13" s="2" t="s">
        <v>425</v>
      </c>
      <c r="H13" s="8" t="n">
        <v>134</v>
      </c>
      <c r="I13" s="2" t="s">
        <v>426</v>
      </c>
      <c r="J13" s="2"/>
      <c r="K13" s="2" t="s">
        <v>427</v>
      </c>
      <c r="L13" s="2" t="s">
        <v>351</v>
      </c>
      <c r="M13" s="2" t="s">
        <v>428</v>
      </c>
    </row>
    <row r="14" customFormat="false" ht="15" hidden="false" customHeight="false" outlineLevel="0" collapsed="false">
      <c r="A14" s="2" t="s">
        <v>429</v>
      </c>
      <c r="B14" s="2" t="s">
        <v>14</v>
      </c>
      <c r="C14" s="2" t="s">
        <v>33</v>
      </c>
      <c r="D14" s="2" t="s">
        <v>83</v>
      </c>
      <c r="E14" s="2"/>
      <c r="F14" s="2"/>
      <c r="G14" s="2" t="s">
        <v>430</v>
      </c>
      <c r="H14" s="8" t="n">
        <v>7.07</v>
      </c>
      <c r="I14" s="2" t="s">
        <v>431</v>
      </c>
      <c r="J14" s="2"/>
      <c r="K14" s="2" t="s">
        <v>432</v>
      </c>
      <c r="L14" s="2" t="s">
        <v>351</v>
      </c>
      <c r="M14" s="2" t="s">
        <v>433</v>
      </c>
    </row>
    <row r="15" customFormat="false" ht="15" hidden="false" customHeight="false" outlineLevel="0" collapsed="false">
      <c r="A15" s="2" t="s">
        <v>434</v>
      </c>
      <c r="B15" s="2" t="s">
        <v>14</v>
      </c>
      <c r="C15" s="2" t="s">
        <v>33</v>
      </c>
      <c r="D15" s="2" t="s">
        <v>130</v>
      </c>
      <c r="E15" s="2"/>
      <c r="F15" s="2"/>
      <c r="G15" s="2" t="s">
        <v>385</v>
      </c>
      <c r="H15" s="8" t="n">
        <v>5.9</v>
      </c>
      <c r="I15" s="2" t="s">
        <v>435</v>
      </c>
      <c r="J15" s="2"/>
      <c r="K15" s="2" t="s">
        <v>436</v>
      </c>
      <c r="L15" s="2" t="s">
        <v>351</v>
      </c>
      <c r="M15" s="2" t="s">
        <v>437</v>
      </c>
    </row>
    <row r="16" customFormat="false" ht="15" hidden="false" customHeight="false" outlineLevel="0" collapsed="false">
      <c r="A16" s="2" t="s">
        <v>438</v>
      </c>
      <c r="B16" s="2" t="s">
        <v>12</v>
      </c>
      <c r="C16" s="2" t="s">
        <v>33</v>
      </c>
      <c r="D16" s="2" t="s">
        <v>79</v>
      </c>
      <c r="E16" s="2"/>
      <c r="F16" s="2"/>
      <c r="G16" s="2" t="s">
        <v>373</v>
      </c>
      <c r="H16" s="8" t="n">
        <v>60</v>
      </c>
      <c r="I16" s="2" t="s">
        <v>439</v>
      </c>
      <c r="J16" s="2"/>
      <c r="K16" s="2" t="s">
        <v>440</v>
      </c>
      <c r="L16" s="2" t="s">
        <v>351</v>
      </c>
      <c r="M16" s="2" t="s">
        <v>441</v>
      </c>
    </row>
    <row r="17" customFormat="false" ht="15" hidden="false" customHeight="false" outlineLevel="0" collapsed="false">
      <c r="A17" s="2" t="s">
        <v>442</v>
      </c>
      <c r="B17" s="2" t="s">
        <v>12</v>
      </c>
      <c r="C17" s="2" t="s">
        <v>33</v>
      </c>
      <c r="D17" s="2" t="s">
        <v>83</v>
      </c>
      <c r="E17" s="2"/>
      <c r="F17" s="2"/>
      <c r="G17" s="2" t="s">
        <v>443</v>
      </c>
      <c r="I17" s="2"/>
      <c r="J17" s="2"/>
      <c r="K17" s="2" t="s">
        <v>444</v>
      </c>
      <c r="L17" s="2" t="s">
        <v>351</v>
      </c>
      <c r="M17" s="2" t="s">
        <v>445</v>
      </c>
    </row>
    <row r="18" customFormat="false" ht="15" hidden="false" customHeight="false" outlineLevel="0" collapsed="false">
      <c r="A18" s="2" t="s">
        <v>446</v>
      </c>
      <c r="B18" s="2" t="s">
        <v>12</v>
      </c>
      <c r="C18" s="2" t="s">
        <v>33</v>
      </c>
      <c r="D18" s="2" t="s">
        <v>130</v>
      </c>
      <c r="E18" s="2"/>
      <c r="F18" s="2"/>
      <c r="G18" s="2" t="s">
        <v>443</v>
      </c>
      <c r="I18" s="2"/>
      <c r="J18" s="2"/>
      <c r="K18" s="2" t="s">
        <v>444</v>
      </c>
      <c r="L18" s="2" t="s">
        <v>351</v>
      </c>
      <c r="M18" s="2" t="s">
        <v>445</v>
      </c>
    </row>
    <row r="19" customFormat="false" ht="15" hidden="false" customHeight="false" outlineLevel="0" collapsed="false">
      <c r="A19" s="2" t="s">
        <v>447</v>
      </c>
      <c r="B19" s="2" t="s">
        <v>12</v>
      </c>
      <c r="C19" s="2" t="s">
        <v>33</v>
      </c>
      <c r="D19" s="2" t="s">
        <v>83</v>
      </c>
      <c r="E19" s="2"/>
      <c r="F19" s="2"/>
      <c r="G19" s="2" t="s">
        <v>443</v>
      </c>
      <c r="I19" s="2"/>
      <c r="J19" s="2"/>
      <c r="K19" s="2" t="s">
        <v>448</v>
      </c>
      <c r="L19" s="2" t="s">
        <v>351</v>
      </c>
      <c r="M19" s="2" t="s">
        <v>449</v>
      </c>
    </row>
    <row r="20" customFormat="false" ht="15" hidden="false" customHeight="false" outlineLevel="0" collapsed="false">
      <c r="A20" s="2" t="s">
        <v>450</v>
      </c>
      <c r="B20" s="2" t="s">
        <v>12</v>
      </c>
      <c r="C20" s="2" t="s">
        <v>33</v>
      </c>
      <c r="D20" s="2" t="s">
        <v>83</v>
      </c>
      <c r="E20" s="2"/>
      <c r="F20" s="2"/>
      <c r="G20" s="2" t="s">
        <v>443</v>
      </c>
      <c r="I20" s="2"/>
      <c r="J20" s="2"/>
      <c r="K20" s="2" t="s">
        <v>444</v>
      </c>
      <c r="L20" s="2" t="s">
        <v>351</v>
      </c>
      <c r="M20" s="2" t="s">
        <v>445</v>
      </c>
    </row>
    <row r="21" customFormat="false" ht="15" hidden="false" customHeight="false" outlineLevel="0" collapsed="false">
      <c r="A21" s="2" t="s">
        <v>451</v>
      </c>
      <c r="B21" s="2" t="s">
        <v>24</v>
      </c>
      <c r="C21" s="2"/>
      <c r="D21" s="2" t="s">
        <v>83</v>
      </c>
      <c r="E21" s="2"/>
      <c r="F21" s="2"/>
      <c r="G21" s="2"/>
      <c r="I21" s="2"/>
      <c r="J21" s="2"/>
      <c r="K21" s="2" t="s">
        <v>376</v>
      </c>
      <c r="L21" s="2" t="s">
        <v>351</v>
      </c>
      <c r="M21" s="2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5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30"/>
    <col collapsed="false" customWidth="true" hidden="false" outlineLevel="0" max="13" min="13" style="0" width="11"/>
    <col collapsed="false" customWidth="true" hidden="false" outlineLevel="0" max="14" min="14" style="0" width="40"/>
    <col collapsed="false" customWidth="true" hidden="false" outlineLevel="0" max="15" min="15" style="0" width="11"/>
  </cols>
  <sheetData>
    <row r="1" customFormat="false" ht="23.85" hidden="false" customHeight="false" outlineLevel="0" collapsed="false">
      <c r="A1" s="3" t="s">
        <v>56</v>
      </c>
      <c r="B1" s="3" t="s">
        <v>453</v>
      </c>
      <c r="C1" s="3" t="s">
        <v>359</v>
      </c>
      <c r="D1" s="3" t="s">
        <v>360</v>
      </c>
      <c r="E1" s="3" t="s">
        <v>55</v>
      </c>
      <c r="F1" s="3" t="s">
        <v>361</v>
      </c>
      <c r="G1" s="3" t="s">
        <v>58</v>
      </c>
      <c r="H1" s="3" t="s">
        <v>454</v>
      </c>
      <c r="I1" s="3" t="s">
        <v>455</v>
      </c>
      <c r="J1" s="3" t="s">
        <v>456</v>
      </c>
      <c r="K1" s="3" t="s">
        <v>457</v>
      </c>
      <c r="L1" s="3" t="s">
        <v>365</v>
      </c>
      <c r="M1" s="3" t="s">
        <v>66</v>
      </c>
      <c r="N1" s="3" t="s">
        <v>367</v>
      </c>
      <c r="O1" s="3" t="s">
        <v>368</v>
      </c>
    </row>
    <row r="2" customFormat="false" ht="15" hidden="false" customHeight="false" outlineLevel="0" collapsed="false">
      <c r="A2" s="2" t="s">
        <v>307</v>
      </c>
      <c r="B2" s="2" t="s">
        <v>22</v>
      </c>
      <c r="C2" s="2" t="s">
        <v>22</v>
      </c>
      <c r="D2" s="2" t="s">
        <v>27</v>
      </c>
      <c r="E2" s="2" t="s">
        <v>306</v>
      </c>
      <c r="F2" s="2"/>
      <c r="G2" s="2" t="s">
        <v>89</v>
      </c>
      <c r="H2" s="2" t="s">
        <v>308</v>
      </c>
      <c r="I2" s="2"/>
      <c r="J2" s="6" t="n">
        <v>345</v>
      </c>
      <c r="K2" s="6" t="n">
        <v>495.231</v>
      </c>
      <c r="L2" s="2" t="s">
        <v>458</v>
      </c>
      <c r="M2" s="7" t="n">
        <v>0.00299997</v>
      </c>
      <c r="N2" s="2" t="s">
        <v>459</v>
      </c>
      <c r="O2" s="2" t="s">
        <v>351</v>
      </c>
    </row>
    <row r="3" customFormat="false" ht="15" hidden="false" customHeight="false" outlineLevel="0" collapsed="false">
      <c r="A3" s="2" t="s">
        <v>243</v>
      </c>
      <c r="B3" s="2" t="s">
        <v>22</v>
      </c>
      <c r="C3" s="2" t="s">
        <v>22</v>
      </c>
      <c r="D3" s="2" t="s">
        <v>27</v>
      </c>
      <c r="E3" s="2" t="s">
        <v>242</v>
      </c>
      <c r="F3" s="2" t="s">
        <v>79</v>
      </c>
      <c r="G3" s="2" t="s">
        <v>70</v>
      </c>
      <c r="H3" s="2" t="s">
        <v>241</v>
      </c>
      <c r="I3" s="2"/>
      <c r="J3" s="6" t="n">
        <v>650</v>
      </c>
      <c r="K3" s="6" t="n">
        <v>2877.03</v>
      </c>
      <c r="L3" s="2" t="s">
        <v>458</v>
      </c>
      <c r="M3" s="7" t="n">
        <v>-0.1575</v>
      </c>
      <c r="N3" s="2" t="s">
        <v>459</v>
      </c>
      <c r="O3" s="2" t="s">
        <v>351</v>
      </c>
    </row>
    <row r="4" customFormat="false" ht="15" hidden="false" customHeight="false" outlineLevel="0" collapsed="false">
      <c r="A4" s="2" t="s">
        <v>123</v>
      </c>
      <c r="B4" s="2" t="s">
        <v>22</v>
      </c>
      <c r="C4" s="2" t="s">
        <v>22</v>
      </c>
      <c r="D4" s="2" t="s">
        <v>27</v>
      </c>
      <c r="E4" s="2" t="s">
        <v>122</v>
      </c>
      <c r="F4" s="2" t="s">
        <v>83</v>
      </c>
      <c r="G4" s="2" t="s">
        <v>70</v>
      </c>
      <c r="H4" s="2" t="s">
        <v>121</v>
      </c>
      <c r="I4" s="2"/>
      <c r="J4" s="6" t="n">
        <v>240</v>
      </c>
      <c r="K4" s="6" t="n">
        <v>1060.34</v>
      </c>
      <c r="L4" s="2" t="s">
        <v>458</v>
      </c>
      <c r="M4" s="7" t="n">
        <v>-0.4475</v>
      </c>
      <c r="N4" s="2" t="s">
        <v>459</v>
      </c>
      <c r="O4" s="2" t="s">
        <v>351</v>
      </c>
    </row>
    <row r="5" customFormat="false" ht="15" hidden="false" customHeight="false" outlineLevel="0" collapsed="false">
      <c r="A5" s="2" t="s">
        <v>73</v>
      </c>
      <c r="B5" s="2" t="s">
        <v>22</v>
      </c>
      <c r="C5" s="2" t="s">
        <v>22</v>
      </c>
      <c r="D5" s="2" t="s">
        <v>27</v>
      </c>
      <c r="E5" s="2" t="s">
        <v>72</v>
      </c>
      <c r="F5" s="2" t="s">
        <v>75</v>
      </c>
      <c r="G5" s="2" t="s">
        <v>70</v>
      </c>
      <c r="H5" s="2" t="s">
        <v>74</v>
      </c>
      <c r="I5" s="2"/>
      <c r="J5" s="6" t="n">
        <v>317.7</v>
      </c>
      <c r="K5" s="6" t="n">
        <v>1279.57</v>
      </c>
      <c r="L5" s="2" t="s">
        <v>458</v>
      </c>
      <c r="M5" s="7" t="n">
        <v>0.331111</v>
      </c>
      <c r="N5" s="2" t="s">
        <v>459</v>
      </c>
      <c r="O5" s="2" t="s">
        <v>351</v>
      </c>
    </row>
    <row r="6" customFormat="false" ht="15" hidden="false" customHeight="false" outlineLevel="0" collapsed="false">
      <c r="A6" s="2" t="s">
        <v>176</v>
      </c>
      <c r="B6" s="2" t="s">
        <v>22</v>
      </c>
      <c r="C6" s="2" t="s">
        <v>22</v>
      </c>
      <c r="D6" s="2" t="s">
        <v>27</v>
      </c>
      <c r="E6" s="2" t="s">
        <v>175</v>
      </c>
      <c r="F6" s="2" t="s">
        <v>75</v>
      </c>
      <c r="G6" s="2" t="s">
        <v>70</v>
      </c>
      <c r="H6" s="2" t="s">
        <v>174</v>
      </c>
      <c r="I6" s="2"/>
      <c r="J6" s="6" t="n">
        <v>191.25</v>
      </c>
      <c r="K6" s="6" t="n">
        <v>1657.92</v>
      </c>
      <c r="L6" s="2" t="s">
        <v>458</v>
      </c>
      <c r="M6" s="7" t="n">
        <v>0.407059</v>
      </c>
      <c r="N6" s="2" t="s">
        <v>459</v>
      </c>
      <c r="O6" s="2" t="s">
        <v>351</v>
      </c>
    </row>
    <row r="7" customFormat="false" ht="15" hidden="false" customHeight="false" outlineLevel="0" collapsed="false">
      <c r="A7" s="2" t="s">
        <v>347</v>
      </c>
      <c r="B7" s="2" t="s">
        <v>22</v>
      </c>
      <c r="C7" s="2" t="s">
        <v>22</v>
      </c>
      <c r="D7" s="2" t="s">
        <v>27</v>
      </c>
      <c r="E7" s="2" t="s">
        <v>346</v>
      </c>
      <c r="F7" s="2"/>
      <c r="G7" s="2" t="s">
        <v>89</v>
      </c>
      <c r="H7" s="2" t="s">
        <v>348</v>
      </c>
      <c r="I7" s="2"/>
      <c r="J7" s="6" t="n">
        <v>250</v>
      </c>
      <c r="K7" s="6" t="n">
        <v>339.528</v>
      </c>
      <c r="L7" s="2" t="s">
        <v>458</v>
      </c>
      <c r="M7" s="7" t="n">
        <v>-0.00200005</v>
      </c>
      <c r="N7" s="2" t="s">
        <v>459</v>
      </c>
      <c r="O7" s="2" t="s">
        <v>351</v>
      </c>
    </row>
    <row r="8" customFormat="false" ht="15" hidden="false" customHeight="false" outlineLevel="0" collapsed="false">
      <c r="A8" s="2" t="s">
        <v>232</v>
      </c>
      <c r="B8" s="2" t="s">
        <v>22</v>
      </c>
      <c r="C8" s="2" t="s">
        <v>22</v>
      </c>
      <c r="D8" s="2" t="s">
        <v>27</v>
      </c>
      <c r="E8" s="2" t="s">
        <v>231</v>
      </c>
      <c r="F8" s="2"/>
      <c r="G8" s="2" t="s">
        <v>89</v>
      </c>
      <c r="H8" s="2" t="s">
        <v>233</v>
      </c>
      <c r="I8" s="2"/>
      <c r="J8" s="6" t="n">
        <v>75</v>
      </c>
      <c r="K8" s="6" t="n">
        <v>94.5938</v>
      </c>
      <c r="L8" s="2" t="s">
        <v>458</v>
      </c>
      <c r="M8" s="7" t="n">
        <v>0.00900002</v>
      </c>
      <c r="N8" s="2" t="s">
        <v>459</v>
      </c>
      <c r="O8" s="2" t="s">
        <v>351</v>
      </c>
    </row>
    <row r="9" customFormat="false" ht="15" hidden="false" customHeight="false" outlineLevel="0" collapsed="false">
      <c r="A9" s="2" t="s">
        <v>125</v>
      </c>
      <c r="B9" s="2" t="s">
        <v>22</v>
      </c>
      <c r="C9" s="2" t="s">
        <v>22</v>
      </c>
      <c r="D9" s="2" t="s">
        <v>27</v>
      </c>
      <c r="E9" s="2" t="s">
        <v>124</v>
      </c>
      <c r="F9" s="2" t="s">
        <v>109</v>
      </c>
      <c r="G9" s="2" t="s">
        <v>70</v>
      </c>
      <c r="H9" s="2" t="s">
        <v>126</v>
      </c>
      <c r="I9" s="2"/>
      <c r="J9" s="6" t="n">
        <v>199.9998</v>
      </c>
      <c r="K9" s="6" t="n">
        <v>987.082</v>
      </c>
      <c r="L9" s="2" t="s">
        <v>458</v>
      </c>
      <c r="M9" s="7" t="n">
        <v>0.152778</v>
      </c>
      <c r="N9" s="2" t="s">
        <v>459</v>
      </c>
      <c r="O9" s="2" t="s">
        <v>351</v>
      </c>
    </row>
    <row r="10" customFormat="false" ht="15" hidden="false" customHeight="false" outlineLevel="0" collapsed="false">
      <c r="A10" s="2" t="s">
        <v>168</v>
      </c>
      <c r="B10" s="2" t="s">
        <v>22</v>
      </c>
      <c r="C10" s="2" t="s">
        <v>22</v>
      </c>
      <c r="D10" s="2" t="s">
        <v>27</v>
      </c>
      <c r="E10" s="2" t="s">
        <v>167</v>
      </c>
      <c r="F10" s="2" t="s">
        <v>79</v>
      </c>
      <c r="G10" s="2" t="s">
        <v>70</v>
      </c>
      <c r="H10" s="2" t="s">
        <v>169</v>
      </c>
      <c r="I10" s="2"/>
      <c r="J10" s="6" t="n">
        <v>1134</v>
      </c>
      <c r="K10" s="6" t="n">
        <v>17139.7</v>
      </c>
      <c r="L10" s="2" t="s">
        <v>458</v>
      </c>
      <c r="M10" s="7" t="n">
        <v>0.491786</v>
      </c>
      <c r="N10" s="2" t="s">
        <v>459</v>
      </c>
      <c r="O10" s="2" t="s">
        <v>351</v>
      </c>
    </row>
    <row r="11" customFormat="false" ht="15" hidden="false" customHeight="false" outlineLevel="0" collapsed="false">
      <c r="A11" s="2" t="s">
        <v>180</v>
      </c>
      <c r="B11" s="2" t="s">
        <v>22</v>
      </c>
      <c r="C11" s="2" t="s">
        <v>22</v>
      </c>
      <c r="D11" s="2" t="s">
        <v>27</v>
      </c>
      <c r="E11" s="2" t="s">
        <v>179</v>
      </c>
      <c r="F11" s="2" t="s">
        <v>79</v>
      </c>
      <c r="G11" s="2" t="s">
        <v>70</v>
      </c>
      <c r="H11" s="2" t="s">
        <v>174</v>
      </c>
      <c r="I11" s="2"/>
      <c r="J11" s="6" t="n">
        <v>320</v>
      </c>
      <c r="K11" s="6" t="n">
        <v>1519.04</v>
      </c>
      <c r="L11" s="2" t="s">
        <v>458</v>
      </c>
      <c r="M11" s="7" t="n">
        <v>-0.334</v>
      </c>
      <c r="N11" s="2" t="s">
        <v>459</v>
      </c>
      <c r="O11" s="2" t="s">
        <v>351</v>
      </c>
    </row>
    <row r="12" customFormat="false" ht="15" hidden="false" customHeight="false" outlineLevel="0" collapsed="false">
      <c r="A12" s="2" t="s">
        <v>194</v>
      </c>
      <c r="B12" s="2" t="s">
        <v>22</v>
      </c>
      <c r="C12" s="2" t="s">
        <v>22</v>
      </c>
      <c r="D12" s="2" t="s">
        <v>27</v>
      </c>
      <c r="E12" s="2" t="s">
        <v>193</v>
      </c>
      <c r="F12" s="2" t="s">
        <v>75</v>
      </c>
      <c r="G12" s="2" t="s">
        <v>70</v>
      </c>
      <c r="H12" s="2" t="s">
        <v>195</v>
      </c>
      <c r="I12" s="2"/>
      <c r="J12" s="6" t="n">
        <v>300.0006</v>
      </c>
      <c r="K12" s="6" t="n">
        <v>1269.26</v>
      </c>
      <c r="L12" s="2" t="s">
        <v>458</v>
      </c>
      <c r="M12" s="7" t="n">
        <v>0.590555</v>
      </c>
      <c r="N12" s="2" t="s">
        <v>459</v>
      </c>
      <c r="O12" s="2" t="s">
        <v>351</v>
      </c>
    </row>
    <row r="13" customFormat="false" ht="15" hidden="false" customHeight="false" outlineLevel="0" collapsed="false">
      <c r="A13" s="2" t="s">
        <v>322</v>
      </c>
      <c r="B13" s="2" t="s">
        <v>22</v>
      </c>
      <c r="C13" s="2" t="s">
        <v>22</v>
      </c>
      <c r="D13" s="2" t="s">
        <v>27</v>
      </c>
      <c r="E13" s="2" t="s">
        <v>321</v>
      </c>
      <c r="F13" s="2"/>
      <c r="G13" s="2" t="s">
        <v>89</v>
      </c>
      <c r="H13" s="2" t="s">
        <v>323</v>
      </c>
      <c r="I13" s="2"/>
      <c r="J13" s="6" t="n">
        <v>300</v>
      </c>
      <c r="K13" s="6" t="n">
        <v>463.22</v>
      </c>
      <c r="L13" s="2" t="s">
        <v>458</v>
      </c>
      <c r="M13" s="7" t="n">
        <v>0.00699997</v>
      </c>
      <c r="N13" s="2" t="s">
        <v>459</v>
      </c>
      <c r="O13" s="2" t="s">
        <v>351</v>
      </c>
    </row>
    <row r="14" customFormat="false" ht="15" hidden="false" customHeight="false" outlineLevel="0" collapsed="false">
      <c r="A14" s="2" t="s">
        <v>132</v>
      </c>
      <c r="B14" s="2" t="s">
        <v>22</v>
      </c>
      <c r="C14" s="2" t="s">
        <v>22</v>
      </c>
      <c r="D14" s="2" t="s">
        <v>27</v>
      </c>
      <c r="E14" s="2" t="s">
        <v>131</v>
      </c>
      <c r="F14" s="2" t="s">
        <v>79</v>
      </c>
      <c r="G14" s="2" t="s">
        <v>70</v>
      </c>
      <c r="H14" s="2" t="s">
        <v>133</v>
      </c>
      <c r="I14" s="2"/>
      <c r="J14" s="6" t="n">
        <v>12.4</v>
      </c>
      <c r="K14" s="6" t="n">
        <v>22.3219</v>
      </c>
      <c r="L14" s="2" t="s">
        <v>458</v>
      </c>
      <c r="M14" s="7" t="n">
        <v>-0.21375</v>
      </c>
      <c r="N14" s="2" t="s">
        <v>459</v>
      </c>
      <c r="O14" s="2" t="s">
        <v>351</v>
      </c>
    </row>
    <row r="15" customFormat="false" ht="15" hidden="false" customHeight="false" outlineLevel="0" collapsed="false">
      <c r="A15" s="2" t="s">
        <v>108</v>
      </c>
      <c r="B15" s="2" t="s">
        <v>22</v>
      </c>
      <c r="C15" s="2" t="s">
        <v>22</v>
      </c>
      <c r="D15" s="2" t="s">
        <v>27</v>
      </c>
      <c r="E15" s="2" t="s">
        <v>107</v>
      </c>
      <c r="F15" s="2" t="s">
        <v>109</v>
      </c>
      <c r="G15" s="2" t="s">
        <v>70</v>
      </c>
      <c r="H15" s="2" t="s">
        <v>102</v>
      </c>
      <c r="I15" s="2"/>
      <c r="J15" s="6" t="n">
        <v>330.65</v>
      </c>
      <c r="K15" s="6" t="n">
        <v>2138.37</v>
      </c>
      <c r="L15" s="2" t="s">
        <v>458</v>
      </c>
      <c r="M15" s="7" t="n">
        <v>-0.0370588</v>
      </c>
      <c r="N15" s="2" t="s">
        <v>459</v>
      </c>
      <c r="O15" s="2" t="s">
        <v>351</v>
      </c>
    </row>
    <row r="16" customFormat="false" ht="15" hidden="false" customHeight="false" outlineLevel="0" collapsed="false">
      <c r="A16" s="2" t="s">
        <v>350</v>
      </c>
      <c r="B16" s="2" t="s">
        <v>22</v>
      </c>
      <c r="C16" s="2" t="s">
        <v>22</v>
      </c>
      <c r="D16" s="2" t="s">
        <v>27</v>
      </c>
      <c r="E16" s="2" t="s">
        <v>349</v>
      </c>
      <c r="F16" s="2"/>
      <c r="G16" s="2" t="s">
        <v>89</v>
      </c>
      <c r="H16" s="2" t="s">
        <v>351</v>
      </c>
      <c r="I16" s="2"/>
      <c r="J16" s="6" t="n">
        <v>325</v>
      </c>
      <c r="K16" s="6" t="n">
        <v>331.875</v>
      </c>
      <c r="L16" s="2" t="s">
        <v>458</v>
      </c>
      <c r="N16" s="2" t="s">
        <v>459</v>
      </c>
      <c r="O16" s="2" t="s">
        <v>351</v>
      </c>
    </row>
    <row r="17" customFormat="false" ht="15" hidden="false" customHeight="false" outlineLevel="0" collapsed="false">
      <c r="A17" s="2" t="s">
        <v>317</v>
      </c>
      <c r="B17" s="2" t="s">
        <v>22</v>
      </c>
      <c r="C17" s="2" t="s">
        <v>22</v>
      </c>
      <c r="D17" s="2" t="s">
        <v>27</v>
      </c>
      <c r="E17" s="2" t="s">
        <v>316</v>
      </c>
      <c r="F17" s="2" t="s">
        <v>130</v>
      </c>
      <c r="G17" s="2" t="s">
        <v>70</v>
      </c>
      <c r="H17" s="2" t="s">
        <v>311</v>
      </c>
      <c r="I17" s="2"/>
      <c r="J17" s="6" t="n">
        <v>1681.159</v>
      </c>
      <c r="L17" s="2" t="s">
        <v>458</v>
      </c>
      <c r="M17" s="7" t="n">
        <v>0.152414</v>
      </c>
      <c r="N17" s="2" t="s">
        <v>459</v>
      </c>
      <c r="O17" s="2" t="s">
        <v>351</v>
      </c>
    </row>
    <row r="18" customFormat="false" ht="15" hidden="false" customHeight="false" outlineLevel="0" collapsed="false">
      <c r="A18" s="2" t="s">
        <v>81</v>
      </c>
      <c r="B18" s="2" t="s">
        <v>22</v>
      </c>
      <c r="C18" s="2" t="s">
        <v>22</v>
      </c>
      <c r="D18" s="2" t="s">
        <v>27</v>
      </c>
      <c r="E18" s="2" t="s">
        <v>80</v>
      </c>
      <c r="F18" s="2" t="s">
        <v>83</v>
      </c>
      <c r="G18" s="2" t="s">
        <v>70</v>
      </c>
      <c r="H18" s="2" t="s">
        <v>82</v>
      </c>
      <c r="I18" s="2"/>
      <c r="J18" s="6" t="n">
        <v>212.7888</v>
      </c>
      <c r="K18" s="6" t="n">
        <v>586.755</v>
      </c>
      <c r="L18" s="2" t="s">
        <v>458</v>
      </c>
      <c r="M18" s="7" t="n">
        <v>-0.718889</v>
      </c>
      <c r="N18" s="2" t="s">
        <v>459</v>
      </c>
      <c r="O18" s="2" t="s">
        <v>351</v>
      </c>
    </row>
    <row r="19" customFormat="false" ht="15" hidden="false" customHeight="false" outlineLevel="0" collapsed="false">
      <c r="A19" s="2" t="s">
        <v>68</v>
      </c>
      <c r="B19" s="2" t="s">
        <v>22</v>
      </c>
      <c r="C19" s="2" t="s">
        <v>22</v>
      </c>
      <c r="D19" s="2" t="s">
        <v>27</v>
      </c>
      <c r="E19" s="2" t="s">
        <v>67</v>
      </c>
      <c r="F19" s="2" t="s">
        <v>71</v>
      </c>
      <c r="G19" s="2" t="s">
        <v>70</v>
      </c>
      <c r="H19" s="2" t="s">
        <v>69</v>
      </c>
      <c r="I19" s="2"/>
      <c r="J19" s="6" t="n">
        <v>20.000025</v>
      </c>
      <c r="K19" s="6" t="n">
        <v>122.525</v>
      </c>
      <c r="L19" s="2" t="s">
        <v>458</v>
      </c>
      <c r="M19" s="7" t="n">
        <v>0.3</v>
      </c>
      <c r="N19" s="2" t="s">
        <v>459</v>
      </c>
      <c r="O19" s="2" t="s">
        <v>351</v>
      </c>
    </row>
    <row r="20" customFormat="false" ht="15" hidden="false" customHeight="false" outlineLevel="0" collapsed="false">
      <c r="A20" s="2" t="s">
        <v>222</v>
      </c>
      <c r="B20" s="2" t="s">
        <v>22</v>
      </c>
      <c r="C20" s="2" t="s">
        <v>22</v>
      </c>
      <c r="D20" s="2" t="s">
        <v>27</v>
      </c>
      <c r="E20" s="2" t="s">
        <v>221</v>
      </c>
      <c r="F20" s="2" t="s">
        <v>160</v>
      </c>
      <c r="G20" s="2" t="s">
        <v>70</v>
      </c>
      <c r="H20" s="2" t="s">
        <v>223</v>
      </c>
      <c r="I20" s="2"/>
      <c r="J20" s="6" t="n">
        <v>1750</v>
      </c>
      <c r="K20" s="6" t="n">
        <v>2026.48</v>
      </c>
      <c r="L20" s="2" t="s">
        <v>458</v>
      </c>
      <c r="M20" s="7" t="n">
        <v>0.00699997</v>
      </c>
      <c r="N20" s="2" t="s">
        <v>459</v>
      </c>
      <c r="O20" s="2" t="s">
        <v>351</v>
      </c>
    </row>
    <row r="21" customFormat="false" ht="15" hidden="false" customHeight="false" outlineLevel="0" collapsed="false">
      <c r="A21" s="2" t="s">
        <v>282</v>
      </c>
      <c r="B21" s="2" t="s">
        <v>22</v>
      </c>
      <c r="C21" s="2" t="s">
        <v>22</v>
      </c>
      <c r="D21" s="2" t="s">
        <v>27</v>
      </c>
      <c r="E21" s="2" t="s">
        <v>281</v>
      </c>
      <c r="F21" s="2"/>
      <c r="G21" s="2" t="s">
        <v>89</v>
      </c>
      <c r="H21" s="2" t="s">
        <v>283</v>
      </c>
      <c r="I21" s="2"/>
      <c r="J21" s="6" t="n">
        <v>250</v>
      </c>
      <c r="K21" s="6" t="n">
        <v>321.048</v>
      </c>
      <c r="L21" s="2" t="s">
        <v>458</v>
      </c>
      <c r="M21" s="7" t="n">
        <v>0.00799999</v>
      </c>
      <c r="N21" s="2" t="s">
        <v>459</v>
      </c>
      <c r="O21" s="2" t="s">
        <v>351</v>
      </c>
    </row>
    <row r="22" customFormat="false" ht="15" hidden="false" customHeight="false" outlineLevel="0" collapsed="false">
      <c r="A22" s="2" t="s">
        <v>227</v>
      </c>
      <c r="B22" s="2" t="s">
        <v>22</v>
      </c>
      <c r="C22" s="2" t="s">
        <v>22</v>
      </c>
      <c r="D22" s="2" t="s">
        <v>27</v>
      </c>
      <c r="E22" s="2" t="s">
        <v>226</v>
      </c>
      <c r="F22" s="2" t="s">
        <v>130</v>
      </c>
      <c r="G22" s="2" t="s">
        <v>70</v>
      </c>
      <c r="H22" s="2" t="s">
        <v>223</v>
      </c>
      <c r="I22" s="2"/>
      <c r="J22" s="6" t="n">
        <v>5550</v>
      </c>
      <c r="K22" s="6" t="n">
        <v>39417.8</v>
      </c>
      <c r="L22" s="2" t="s">
        <v>458</v>
      </c>
      <c r="M22" s="7" t="n">
        <v>-0.0438919</v>
      </c>
      <c r="N22" s="2" t="s">
        <v>459</v>
      </c>
      <c r="O22" s="2" t="s">
        <v>351</v>
      </c>
    </row>
    <row r="23" customFormat="false" ht="15" hidden="false" customHeight="false" outlineLevel="0" collapsed="false">
      <c r="A23" s="2" t="s">
        <v>331</v>
      </c>
      <c r="B23" s="2" t="s">
        <v>22</v>
      </c>
      <c r="C23" s="2" t="s">
        <v>22</v>
      </c>
      <c r="D23" s="2" t="s">
        <v>27</v>
      </c>
      <c r="E23" s="2" t="s">
        <v>330</v>
      </c>
      <c r="F23" s="2"/>
      <c r="G23" s="2" t="s">
        <v>89</v>
      </c>
      <c r="H23" s="2" t="s">
        <v>329</v>
      </c>
      <c r="I23" s="2"/>
      <c r="J23" s="6" t="n">
        <v>200</v>
      </c>
      <c r="K23" s="6" t="n">
        <v>313.943</v>
      </c>
      <c r="L23" s="2" t="s">
        <v>458</v>
      </c>
      <c r="M23" s="7" t="n">
        <v>0.00200005</v>
      </c>
      <c r="N23" s="2" t="s">
        <v>459</v>
      </c>
      <c r="O23" s="2" t="s">
        <v>351</v>
      </c>
    </row>
    <row r="24" customFormat="false" ht="15" hidden="false" customHeight="false" outlineLevel="0" collapsed="false">
      <c r="A24" s="2" t="s">
        <v>106</v>
      </c>
      <c r="B24" s="2" t="s">
        <v>22</v>
      </c>
      <c r="C24" s="2" t="s">
        <v>22</v>
      </c>
      <c r="D24" s="2" t="s">
        <v>27</v>
      </c>
      <c r="E24" s="2" t="s">
        <v>105</v>
      </c>
      <c r="F24" s="2"/>
      <c r="G24" s="2" t="s">
        <v>89</v>
      </c>
      <c r="H24" s="2" t="s">
        <v>102</v>
      </c>
      <c r="I24" s="2"/>
      <c r="J24" s="6" t="n">
        <v>100</v>
      </c>
      <c r="K24" s="6" t="n">
        <v>152.914</v>
      </c>
      <c r="L24" s="2" t="s">
        <v>458</v>
      </c>
      <c r="M24" s="7" t="n">
        <v>0.042</v>
      </c>
      <c r="N24" s="2" t="s">
        <v>459</v>
      </c>
      <c r="O24" s="2" t="s">
        <v>351</v>
      </c>
    </row>
    <row r="25" customFormat="false" ht="15" hidden="false" customHeight="false" outlineLevel="0" collapsed="false">
      <c r="A25" s="2" t="s">
        <v>297</v>
      </c>
      <c r="B25" s="2" t="s">
        <v>22</v>
      </c>
      <c r="C25" s="2" t="s">
        <v>22</v>
      </c>
      <c r="D25" s="2" t="s">
        <v>27</v>
      </c>
      <c r="E25" s="2" t="s">
        <v>296</v>
      </c>
      <c r="F25" s="2"/>
      <c r="G25" s="2" t="s">
        <v>89</v>
      </c>
      <c r="H25" s="2" t="s">
        <v>298</v>
      </c>
      <c r="I25" s="2"/>
      <c r="J25" s="6" t="n">
        <v>250</v>
      </c>
      <c r="K25" s="6" t="n">
        <v>342.719</v>
      </c>
      <c r="L25" s="2" t="s">
        <v>458</v>
      </c>
      <c r="M25" s="7" t="n">
        <v>-0.00299997</v>
      </c>
      <c r="N25" s="2" t="s">
        <v>459</v>
      </c>
      <c r="O25" s="2" t="s">
        <v>351</v>
      </c>
    </row>
    <row r="26" customFormat="false" ht="15" hidden="false" customHeight="false" outlineLevel="0" collapsed="false">
      <c r="A26" s="2" t="s">
        <v>203</v>
      </c>
      <c r="B26" s="2" t="s">
        <v>22</v>
      </c>
      <c r="C26" s="2" t="s">
        <v>22</v>
      </c>
      <c r="D26" s="2" t="s">
        <v>27</v>
      </c>
      <c r="E26" s="2" t="s">
        <v>202</v>
      </c>
      <c r="F26" s="2" t="s">
        <v>75</v>
      </c>
      <c r="G26" s="2" t="s">
        <v>70</v>
      </c>
      <c r="H26" s="2" t="s">
        <v>201</v>
      </c>
      <c r="I26" s="2"/>
      <c r="J26" s="6" t="n">
        <v>301.5</v>
      </c>
      <c r="K26" s="6" t="n">
        <v>2306.78</v>
      </c>
      <c r="L26" s="2" t="s">
        <v>458</v>
      </c>
      <c r="M26" s="7" t="n">
        <v>1.74389</v>
      </c>
      <c r="N26" s="2" t="s">
        <v>459</v>
      </c>
      <c r="O26" s="2" t="s">
        <v>351</v>
      </c>
    </row>
    <row r="27" customFormat="false" ht="15" hidden="false" customHeight="false" outlineLevel="0" collapsed="false">
      <c r="A27" s="2" t="s">
        <v>342</v>
      </c>
      <c r="B27" s="2" t="s">
        <v>22</v>
      </c>
      <c r="C27" s="2" t="s">
        <v>22</v>
      </c>
      <c r="D27" s="2" t="s">
        <v>27</v>
      </c>
      <c r="E27" s="2" t="s">
        <v>341</v>
      </c>
      <c r="F27" s="2"/>
      <c r="G27" s="2" t="s">
        <v>70</v>
      </c>
      <c r="H27" s="2" t="s">
        <v>343</v>
      </c>
      <c r="I27" s="2"/>
      <c r="J27" s="6" t="n">
        <v>1050</v>
      </c>
      <c r="K27" s="6" t="n">
        <v>3096.79</v>
      </c>
      <c r="L27" s="2" t="s">
        <v>458</v>
      </c>
      <c r="M27" s="7" t="n">
        <v>-0.047619</v>
      </c>
      <c r="N27" s="2" t="s">
        <v>459</v>
      </c>
      <c r="O27" s="2" t="s">
        <v>351</v>
      </c>
    </row>
    <row r="28" customFormat="false" ht="15" hidden="false" customHeight="false" outlineLevel="0" collapsed="false">
      <c r="A28" s="2" t="s">
        <v>302</v>
      </c>
      <c r="B28" s="2" t="s">
        <v>22</v>
      </c>
      <c r="C28" s="2" t="s">
        <v>22</v>
      </c>
      <c r="D28" s="2" t="s">
        <v>27</v>
      </c>
      <c r="E28" s="2" t="s">
        <v>301</v>
      </c>
      <c r="F28" s="2" t="s">
        <v>79</v>
      </c>
      <c r="G28" s="2" t="s">
        <v>70</v>
      </c>
      <c r="H28" s="2" t="s">
        <v>298</v>
      </c>
      <c r="I28" s="2"/>
      <c r="J28" s="6" t="n">
        <v>919.3338</v>
      </c>
      <c r="K28" s="6" t="n">
        <v>6728.84</v>
      </c>
      <c r="L28" s="2" t="s">
        <v>458</v>
      </c>
      <c r="M28" s="7" t="n">
        <v>0.365455</v>
      </c>
      <c r="N28" s="2" t="s">
        <v>459</v>
      </c>
      <c r="O28" s="2" t="s">
        <v>351</v>
      </c>
    </row>
    <row r="29" customFormat="false" ht="15" hidden="false" customHeight="false" outlineLevel="0" collapsed="false">
      <c r="A29" s="2" t="s">
        <v>101</v>
      </c>
      <c r="B29" s="2" t="s">
        <v>22</v>
      </c>
      <c r="C29" s="2" t="s">
        <v>22</v>
      </c>
      <c r="D29" s="2" t="s">
        <v>27</v>
      </c>
      <c r="E29" s="2" t="s">
        <v>100</v>
      </c>
      <c r="F29" s="2" t="s">
        <v>75</v>
      </c>
      <c r="G29" s="2" t="s">
        <v>70</v>
      </c>
      <c r="H29" s="2" t="s">
        <v>102</v>
      </c>
      <c r="I29" s="2"/>
      <c r="J29" s="6" t="n">
        <v>381.1968</v>
      </c>
      <c r="K29" s="6" t="n">
        <v>522.438</v>
      </c>
      <c r="L29" s="2" t="s">
        <v>458</v>
      </c>
      <c r="M29" s="7" t="n">
        <v>-0.463889</v>
      </c>
      <c r="N29" s="2" t="s">
        <v>459</v>
      </c>
      <c r="O29" s="2" t="s">
        <v>351</v>
      </c>
    </row>
    <row r="30" customFormat="false" ht="15" hidden="false" customHeight="false" outlineLevel="0" collapsed="false">
      <c r="A30" s="2" t="s">
        <v>185</v>
      </c>
      <c r="B30" s="2" t="s">
        <v>22</v>
      </c>
      <c r="C30" s="2" t="s">
        <v>22</v>
      </c>
      <c r="D30" s="2" t="s">
        <v>27</v>
      </c>
      <c r="E30" s="2" t="s">
        <v>184</v>
      </c>
      <c r="F30" s="2" t="s">
        <v>79</v>
      </c>
      <c r="G30" s="2" t="s">
        <v>70</v>
      </c>
      <c r="H30" s="2" t="s">
        <v>186</v>
      </c>
      <c r="I30" s="2"/>
      <c r="J30" s="6" t="n">
        <v>120.00002</v>
      </c>
      <c r="K30" s="6" t="n">
        <v>431.41</v>
      </c>
      <c r="L30" s="2" t="s">
        <v>458</v>
      </c>
      <c r="M30" s="7" t="n">
        <v>0.0278572</v>
      </c>
      <c r="N30" s="2" t="s">
        <v>459</v>
      </c>
      <c r="O30" s="2" t="s">
        <v>351</v>
      </c>
    </row>
    <row r="31" customFormat="false" ht="15" hidden="false" customHeight="false" outlineLevel="0" collapsed="false">
      <c r="A31" s="2" t="s">
        <v>260</v>
      </c>
      <c r="B31" s="2" t="s">
        <v>22</v>
      </c>
      <c r="C31" s="2" t="s">
        <v>22</v>
      </c>
      <c r="D31" s="2" t="s">
        <v>27</v>
      </c>
      <c r="E31" s="2" t="s">
        <v>259</v>
      </c>
      <c r="F31" s="2" t="s">
        <v>75</v>
      </c>
      <c r="G31" s="2" t="s">
        <v>70</v>
      </c>
      <c r="H31" s="2" t="s">
        <v>261</v>
      </c>
      <c r="I31" s="2"/>
      <c r="J31" s="6" t="n">
        <v>32.725</v>
      </c>
      <c r="K31" s="6" t="n">
        <v>104.794</v>
      </c>
      <c r="L31" s="2" t="s">
        <v>458</v>
      </c>
      <c r="M31" s="7" t="n">
        <v>0.0590909</v>
      </c>
      <c r="N31" s="2" t="s">
        <v>459</v>
      </c>
      <c r="O31" s="2" t="s">
        <v>351</v>
      </c>
    </row>
    <row r="32" customFormat="false" ht="15" hidden="false" customHeight="false" outlineLevel="0" collapsed="false">
      <c r="A32" s="2" t="s">
        <v>85</v>
      </c>
      <c r="B32" s="2" t="s">
        <v>22</v>
      </c>
      <c r="C32" s="2" t="s">
        <v>22</v>
      </c>
      <c r="D32" s="2" t="s">
        <v>27</v>
      </c>
      <c r="E32" s="2" t="s">
        <v>84</v>
      </c>
      <c r="F32" s="2" t="s">
        <v>79</v>
      </c>
      <c r="G32" s="2" t="s">
        <v>70</v>
      </c>
      <c r="H32" s="2" t="s">
        <v>86</v>
      </c>
      <c r="I32" s="2"/>
      <c r="J32" s="6" t="n">
        <v>747.25</v>
      </c>
      <c r="K32" s="6" t="n">
        <v>4053.14</v>
      </c>
      <c r="L32" s="2" t="s">
        <v>458</v>
      </c>
      <c r="M32" s="7" t="n">
        <v>-0.34449</v>
      </c>
      <c r="N32" s="2" t="s">
        <v>459</v>
      </c>
      <c r="O32" s="2" t="s">
        <v>351</v>
      </c>
    </row>
    <row r="33" customFormat="false" ht="15" hidden="false" customHeight="false" outlineLevel="0" collapsed="false">
      <c r="A33" s="2" t="s">
        <v>272</v>
      </c>
      <c r="B33" s="2" t="s">
        <v>22</v>
      </c>
      <c r="C33" s="2" t="s">
        <v>22</v>
      </c>
      <c r="D33" s="2" t="s">
        <v>27</v>
      </c>
      <c r="E33" s="2" t="s">
        <v>271</v>
      </c>
      <c r="F33" s="2" t="s">
        <v>79</v>
      </c>
      <c r="G33" s="2" t="s">
        <v>70</v>
      </c>
      <c r="H33" s="2" t="s">
        <v>270</v>
      </c>
      <c r="I33" s="2"/>
      <c r="J33" s="6" t="n">
        <v>600.0005</v>
      </c>
      <c r="K33" s="6" t="n">
        <v>2581.38</v>
      </c>
      <c r="L33" s="2" t="s">
        <v>458</v>
      </c>
      <c r="M33" s="7" t="n">
        <v>-0.452093</v>
      </c>
      <c r="N33" s="2" t="s">
        <v>459</v>
      </c>
      <c r="O33" s="2" t="s">
        <v>351</v>
      </c>
    </row>
    <row r="34" customFormat="false" ht="15" hidden="false" customHeight="false" outlineLevel="0" collapsed="false">
      <c r="A34" s="2" t="s">
        <v>225</v>
      </c>
      <c r="B34" s="2" t="s">
        <v>22</v>
      </c>
      <c r="C34" s="2" t="s">
        <v>22</v>
      </c>
      <c r="D34" s="2" t="s">
        <v>27</v>
      </c>
      <c r="E34" s="2" t="s">
        <v>224</v>
      </c>
      <c r="F34" s="2" t="s">
        <v>118</v>
      </c>
      <c r="G34" s="2" t="s">
        <v>70</v>
      </c>
      <c r="H34" s="2" t="s">
        <v>223</v>
      </c>
      <c r="I34" s="2"/>
      <c r="J34" s="6" t="n">
        <v>320.05</v>
      </c>
      <c r="K34" s="6" t="n">
        <v>2629.99</v>
      </c>
      <c r="L34" s="2" t="s">
        <v>458</v>
      </c>
      <c r="M34" s="7" t="n">
        <v>0.0967568</v>
      </c>
      <c r="N34" s="2" t="s">
        <v>459</v>
      </c>
      <c r="O34" s="2" t="s">
        <v>351</v>
      </c>
    </row>
    <row r="35" customFormat="false" ht="15" hidden="false" customHeight="false" outlineLevel="0" collapsed="false">
      <c r="A35" s="2" t="s">
        <v>290</v>
      </c>
      <c r="B35" s="2" t="s">
        <v>22</v>
      </c>
      <c r="C35" s="2" t="s">
        <v>22</v>
      </c>
      <c r="D35" s="2" t="s">
        <v>27</v>
      </c>
      <c r="E35" s="2" t="s">
        <v>289</v>
      </c>
      <c r="F35" s="2" t="s">
        <v>83</v>
      </c>
      <c r="G35" s="2" t="s">
        <v>70</v>
      </c>
      <c r="H35" s="2" t="s">
        <v>286</v>
      </c>
      <c r="I35" s="2"/>
      <c r="J35" s="6" t="n">
        <v>68.75</v>
      </c>
      <c r="K35" s="6" t="n">
        <v>387.146</v>
      </c>
      <c r="L35" s="2" t="s">
        <v>458</v>
      </c>
      <c r="M35" s="7" t="n">
        <v>0.024</v>
      </c>
      <c r="N35" s="2" t="s">
        <v>459</v>
      </c>
      <c r="O35" s="2" t="s">
        <v>351</v>
      </c>
    </row>
    <row r="36" customFormat="false" ht="15" hidden="false" customHeight="false" outlineLevel="0" collapsed="false">
      <c r="A36" s="2" t="s">
        <v>325</v>
      </c>
      <c r="B36" s="2" t="s">
        <v>22</v>
      </c>
      <c r="C36" s="2" t="s">
        <v>22</v>
      </c>
      <c r="D36" s="2" t="s">
        <v>27</v>
      </c>
      <c r="E36" s="2" t="s">
        <v>324</v>
      </c>
      <c r="F36" s="2"/>
      <c r="G36" s="2" t="s">
        <v>89</v>
      </c>
      <c r="H36" s="2" t="s">
        <v>326</v>
      </c>
      <c r="I36" s="2"/>
      <c r="J36" s="6" t="n">
        <v>275</v>
      </c>
      <c r="K36" s="6" t="n">
        <v>374.167</v>
      </c>
      <c r="L36" s="2" t="s">
        <v>458</v>
      </c>
      <c r="M36" s="7" t="n">
        <v>-0.00200005</v>
      </c>
      <c r="N36" s="2" t="s">
        <v>459</v>
      </c>
      <c r="O36" s="2" t="s">
        <v>351</v>
      </c>
    </row>
    <row r="37" customFormat="false" ht="15" hidden="false" customHeight="false" outlineLevel="0" collapsed="false">
      <c r="A37" s="2" t="s">
        <v>288</v>
      </c>
      <c r="B37" s="2" t="s">
        <v>22</v>
      </c>
      <c r="C37" s="2" t="s">
        <v>22</v>
      </c>
      <c r="D37" s="2" t="s">
        <v>27</v>
      </c>
      <c r="E37" s="2" t="s">
        <v>287</v>
      </c>
      <c r="F37" s="2" t="s">
        <v>218</v>
      </c>
      <c r="G37" s="2" t="s">
        <v>70</v>
      </c>
      <c r="H37" s="2" t="s">
        <v>286</v>
      </c>
      <c r="I37" s="2"/>
      <c r="J37" s="6" t="n">
        <v>40</v>
      </c>
      <c r="K37" s="6" t="n">
        <v>622.225</v>
      </c>
      <c r="L37" s="2" t="s">
        <v>458</v>
      </c>
      <c r="M37" s="7" t="n">
        <v>-0.355625</v>
      </c>
      <c r="N37" s="2" t="s">
        <v>459</v>
      </c>
      <c r="O37" s="2" t="s">
        <v>351</v>
      </c>
    </row>
    <row r="38" customFormat="false" ht="15" hidden="false" customHeight="false" outlineLevel="0" collapsed="false">
      <c r="A38" s="2" t="s">
        <v>104</v>
      </c>
      <c r="B38" s="2" t="s">
        <v>22</v>
      </c>
      <c r="C38" s="2" t="s">
        <v>22</v>
      </c>
      <c r="D38" s="2" t="s">
        <v>27</v>
      </c>
      <c r="E38" s="2" t="s">
        <v>103</v>
      </c>
      <c r="F38" s="2" t="s">
        <v>79</v>
      </c>
      <c r="G38" s="2" t="s">
        <v>70</v>
      </c>
      <c r="H38" s="2" t="s">
        <v>102</v>
      </c>
      <c r="I38" s="2"/>
      <c r="J38" s="6" t="n">
        <v>1512</v>
      </c>
      <c r="K38" s="6" t="n">
        <v>11720.5</v>
      </c>
      <c r="L38" s="2" t="s">
        <v>458</v>
      </c>
      <c r="M38" s="7" t="n">
        <v>0.425926</v>
      </c>
      <c r="N38" s="2" t="s">
        <v>459</v>
      </c>
      <c r="O38" s="2" t="s">
        <v>351</v>
      </c>
    </row>
    <row r="39" customFormat="false" ht="15" hidden="false" customHeight="false" outlineLevel="0" collapsed="false">
      <c r="A39" s="2" t="s">
        <v>276</v>
      </c>
      <c r="B39" s="2" t="s">
        <v>22</v>
      </c>
      <c r="C39" s="2" t="s">
        <v>22</v>
      </c>
      <c r="D39" s="2" t="s">
        <v>27</v>
      </c>
      <c r="E39" s="2" t="s">
        <v>275</v>
      </c>
      <c r="F39" s="2" t="s">
        <v>83</v>
      </c>
      <c r="G39" s="2" t="s">
        <v>70</v>
      </c>
      <c r="H39" s="2" t="s">
        <v>277</v>
      </c>
      <c r="I39" s="2"/>
      <c r="J39" s="6" t="n">
        <v>142.2</v>
      </c>
      <c r="K39" s="6" t="n">
        <v>956.983</v>
      </c>
      <c r="L39" s="2" t="s">
        <v>458</v>
      </c>
      <c r="M39" s="7" t="n">
        <v>0.07</v>
      </c>
      <c r="N39" s="2" t="s">
        <v>459</v>
      </c>
      <c r="O39" s="2" t="s">
        <v>351</v>
      </c>
    </row>
    <row r="40" customFormat="false" ht="15" hidden="false" customHeight="false" outlineLevel="0" collapsed="false">
      <c r="A40" s="2" t="s">
        <v>216</v>
      </c>
      <c r="B40" s="2" t="s">
        <v>22</v>
      </c>
      <c r="C40" s="2" t="s">
        <v>22</v>
      </c>
      <c r="D40" s="2" t="s">
        <v>27</v>
      </c>
      <c r="E40" s="2" t="s">
        <v>215</v>
      </c>
      <c r="F40" s="2" t="s">
        <v>218</v>
      </c>
      <c r="G40" s="2" t="s">
        <v>70</v>
      </c>
      <c r="H40" s="2" t="s">
        <v>217</v>
      </c>
      <c r="I40" s="2"/>
      <c r="J40" s="6" t="n">
        <v>1890</v>
      </c>
      <c r="K40" s="6" t="n">
        <v>7510.5</v>
      </c>
      <c r="L40" s="2" t="s">
        <v>458</v>
      </c>
      <c r="M40" s="7" t="n">
        <v>-0.0559259</v>
      </c>
      <c r="N40" s="2" t="s">
        <v>459</v>
      </c>
      <c r="O40" s="2" t="s">
        <v>351</v>
      </c>
    </row>
    <row r="41" customFormat="false" ht="15" hidden="false" customHeight="false" outlineLevel="0" collapsed="false">
      <c r="A41" s="2" t="s">
        <v>257</v>
      </c>
      <c r="B41" s="2" t="s">
        <v>22</v>
      </c>
      <c r="C41" s="2" t="s">
        <v>22</v>
      </c>
      <c r="D41" s="2" t="s">
        <v>27</v>
      </c>
      <c r="E41" s="2" t="s">
        <v>256</v>
      </c>
      <c r="F41" s="2"/>
      <c r="G41" s="2" t="s">
        <v>89</v>
      </c>
      <c r="H41" s="2" t="s">
        <v>258</v>
      </c>
      <c r="I41" s="2"/>
      <c r="J41" s="6" t="n">
        <v>200</v>
      </c>
      <c r="K41" s="6" t="n">
        <v>290.088</v>
      </c>
      <c r="L41" s="2" t="s">
        <v>458</v>
      </c>
      <c r="M41" s="7" t="n">
        <v>0.00900002</v>
      </c>
      <c r="N41" s="2" t="s">
        <v>459</v>
      </c>
      <c r="O41" s="2" t="s">
        <v>351</v>
      </c>
    </row>
    <row r="42" customFormat="false" ht="15" hidden="false" customHeight="false" outlineLevel="0" collapsed="false">
      <c r="A42" s="2" t="s">
        <v>137</v>
      </c>
      <c r="B42" s="2" t="s">
        <v>22</v>
      </c>
      <c r="C42" s="2" t="s">
        <v>22</v>
      </c>
      <c r="D42" s="2" t="s">
        <v>27</v>
      </c>
      <c r="E42" s="2" t="s">
        <v>136</v>
      </c>
      <c r="F42" s="2"/>
      <c r="G42" s="2" t="s">
        <v>89</v>
      </c>
      <c r="H42" s="2" t="s">
        <v>138</v>
      </c>
      <c r="I42" s="2"/>
      <c r="J42" s="6" t="n">
        <v>250</v>
      </c>
      <c r="K42" s="6" t="n">
        <v>365.712</v>
      </c>
      <c r="L42" s="2" t="s">
        <v>458</v>
      </c>
      <c r="M42" s="7" t="n">
        <v>0.012</v>
      </c>
      <c r="N42" s="2" t="s">
        <v>459</v>
      </c>
      <c r="O42" s="2" t="s">
        <v>351</v>
      </c>
    </row>
    <row r="43" customFormat="false" ht="15" hidden="false" customHeight="false" outlineLevel="0" collapsed="false">
      <c r="A43" s="2" t="s">
        <v>300</v>
      </c>
      <c r="B43" s="2" t="s">
        <v>22</v>
      </c>
      <c r="C43" s="2" t="s">
        <v>22</v>
      </c>
      <c r="D43" s="2" t="s">
        <v>27</v>
      </c>
      <c r="E43" s="2" t="s">
        <v>299</v>
      </c>
      <c r="F43" s="2"/>
      <c r="G43" s="2" t="s">
        <v>89</v>
      </c>
      <c r="H43" s="2" t="s">
        <v>298</v>
      </c>
      <c r="I43" s="2"/>
      <c r="J43" s="6" t="n">
        <v>75</v>
      </c>
      <c r="K43" s="6" t="n">
        <v>128.972</v>
      </c>
      <c r="L43" s="2" t="s">
        <v>458</v>
      </c>
      <c r="M43" s="7" t="n">
        <v>0.00450001</v>
      </c>
      <c r="N43" s="2" t="s">
        <v>459</v>
      </c>
      <c r="O43" s="2" t="s">
        <v>351</v>
      </c>
    </row>
    <row r="44" customFormat="false" ht="15" hidden="false" customHeight="false" outlineLevel="0" collapsed="false">
      <c r="A44" s="2" t="s">
        <v>77</v>
      </c>
      <c r="B44" s="2" t="s">
        <v>22</v>
      </c>
      <c r="C44" s="2" t="s">
        <v>22</v>
      </c>
      <c r="D44" s="2" t="s">
        <v>27</v>
      </c>
      <c r="E44" s="2" t="s">
        <v>76</v>
      </c>
      <c r="F44" s="2" t="s">
        <v>79</v>
      </c>
      <c r="G44" s="2" t="s">
        <v>70</v>
      </c>
      <c r="H44" s="2" t="s">
        <v>78</v>
      </c>
      <c r="I44" s="2"/>
      <c r="J44" s="6" t="n">
        <v>10</v>
      </c>
      <c r="K44" s="6" t="n">
        <v>6.11562</v>
      </c>
      <c r="L44" s="2" t="s">
        <v>458</v>
      </c>
      <c r="M44" s="7" t="n">
        <v>-0.88125</v>
      </c>
      <c r="N44" s="2" t="s">
        <v>459</v>
      </c>
      <c r="O44" s="2" t="s">
        <v>351</v>
      </c>
    </row>
    <row r="45" customFormat="false" ht="15" hidden="false" customHeight="false" outlineLevel="0" collapsed="false">
      <c r="A45" s="2" t="s">
        <v>140</v>
      </c>
      <c r="B45" s="2" t="s">
        <v>22</v>
      </c>
      <c r="C45" s="2" t="s">
        <v>22</v>
      </c>
      <c r="D45" s="2" t="s">
        <v>27</v>
      </c>
      <c r="E45" s="2" t="s">
        <v>139</v>
      </c>
      <c r="F45" s="2" t="s">
        <v>75</v>
      </c>
      <c r="G45" s="2" t="s">
        <v>70</v>
      </c>
      <c r="H45" s="2" t="s">
        <v>141</v>
      </c>
      <c r="I45" s="2"/>
      <c r="J45" s="6" t="n">
        <v>400</v>
      </c>
      <c r="K45" s="6" t="n">
        <v>1740.85</v>
      </c>
      <c r="L45" s="2" t="s">
        <v>458</v>
      </c>
      <c r="M45" s="7" t="n">
        <v>-0.15125</v>
      </c>
      <c r="N45" s="2" t="s">
        <v>459</v>
      </c>
      <c r="O45" s="2" t="s">
        <v>351</v>
      </c>
    </row>
    <row r="46" customFormat="false" ht="15" hidden="false" customHeight="false" outlineLevel="0" collapsed="false">
      <c r="A46" s="2" t="s">
        <v>294</v>
      </c>
      <c r="B46" s="2" t="s">
        <v>22</v>
      </c>
      <c r="C46" s="2" t="s">
        <v>22</v>
      </c>
      <c r="D46" s="2" t="s">
        <v>27</v>
      </c>
      <c r="E46" s="2" t="s">
        <v>293</v>
      </c>
      <c r="F46" s="2"/>
      <c r="G46" s="2" t="s">
        <v>89</v>
      </c>
      <c r="H46" s="2" t="s">
        <v>295</v>
      </c>
      <c r="I46" s="2"/>
      <c r="J46" s="6" t="n">
        <v>312</v>
      </c>
      <c r="K46" s="6" t="n">
        <v>460.667</v>
      </c>
      <c r="L46" s="2" t="s">
        <v>458</v>
      </c>
      <c r="M46" s="7" t="n">
        <v>0.022</v>
      </c>
      <c r="N46" s="2" t="s">
        <v>459</v>
      </c>
      <c r="O46" s="2" t="s">
        <v>351</v>
      </c>
    </row>
    <row r="47" customFormat="false" ht="15" hidden="false" customHeight="false" outlineLevel="0" collapsed="false">
      <c r="A47" s="2" t="s">
        <v>220</v>
      </c>
      <c r="B47" s="2" t="s">
        <v>22</v>
      </c>
      <c r="C47" s="2" t="s">
        <v>22</v>
      </c>
      <c r="D47" s="2" t="s">
        <v>27</v>
      </c>
      <c r="E47" s="2" t="s">
        <v>219</v>
      </c>
      <c r="F47" s="2" t="s">
        <v>75</v>
      </c>
      <c r="G47" s="2" t="s">
        <v>70</v>
      </c>
      <c r="H47" s="2" t="s">
        <v>217</v>
      </c>
      <c r="I47" s="2"/>
      <c r="J47" s="6" t="n">
        <v>478.7235</v>
      </c>
      <c r="K47" s="6" t="n">
        <v>2891.83</v>
      </c>
      <c r="L47" s="2" t="s">
        <v>458</v>
      </c>
      <c r="M47" s="7" t="n">
        <v>-0.136</v>
      </c>
      <c r="N47" s="2" t="s">
        <v>459</v>
      </c>
      <c r="O47" s="2" t="s">
        <v>351</v>
      </c>
    </row>
    <row r="48" customFormat="false" ht="15" hidden="false" customHeight="false" outlineLevel="0" collapsed="false">
      <c r="A48" s="2" t="s">
        <v>208</v>
      </c>
      <c r="B48" s="2" t="s">
        <v>22</v>
      </c>
      <c r="C48" s="2" t="s">
        <v>22</v>
      </c>
      <c r="D48" s="2" t="s">
        <v>27</v>
      </c>
      <c r="E48" s="2" t="s">
        <v>207</v>
      </c>
      <c r="F48" s="2" t="s">
        <v>79</v>
      </c>
      <c r="G48" s="2" t="s">
        <v>70</v>
      </c>
      <c r="H48" s="2" t="s">
        <v>209</v>
      </c>
      <c r="I48" s="2"/>
      <c r="J48" s="6" t="n">
        <v>416</v>
      </c>
      <c r="K48" s="6" t="n">
        <v>1708.42</v>
      </c>
      <c r="L48" s="2" t="s">
        <v>458</v>
      </c>
      <c r="M48" s="7" t="n">
        <v>-0.329231</v>
      </c>
      <c r="N48" s="2" t="s">
        <v>459</v>
      </c>
      <c r="O48" s="2" t="s">
        <v>351</v>
      </c>
    </row>
    <row r="49" customFormat="false" ht="15" hidden="false" customHeight="false" outlineLevel="0" collapsed="false">
      <c r="A49" s="2" t="s">
        <v>88</v>
      </c>
      <c r="B49" s="2" t="s">
        <v>22</v>
      </c>
      <c r="C49" s="2" t="s">
        <v>22</v>
      </c>
      <c r="D49" s="2" t="s">
        <v>27</v>
      </c>
      <c r="E49" s="2" t="s">
        <v>87</v>
      </c>
      <c r="F49" s="2"/>
      <c r="G49" s="2" t="s">
        <v>89</v>
      </c>
      <c r="H49" s="2" t="s">
        <v>86</v>
      </c>
      <c r="I49" s="2"/>
      <c r="J49" s="6" t="n">
        <v>150</v>
      </c>
      <c r="K49" s="6" t="n">
        <v>227.014</v>
      </c>
      <c r="L49" s="2" t="s">
        <v>458</v>
      </c>
      <c r="M49" s="7" t="n">
        <v>0.056</v>
      </c>
      <c r="N49" s="2" t="s">
        <v>459</v>
      </c>
      <c r="O49" s="2" t="s">
        <v>351</v>
      </c>
    </row>
    <row r="50" customFormat="false" ht="15" hidden="false" customHeight="false" outlineLevel="0" collapsed="false">
      <c r="A50" s="2" t="s">
        <v>165</v>
      </c>
      <c r="B50" s="2" t="s">
        <v>22</v>
      </c>
      <c r="C50" s="2" t="s">
        <v>22</v>
      </c>
      <c r="D50" s="2" t="s">
        <v>27</v>
      </c>
      <c r="E50" s="2" t="s">
        <v>164</v>
      </c>
      <c r="F50" s="2" t="s">
        <v>118</v>
      </c>
      <c r="G50" s="2" t="s">
        <v>70</v>
      </c>
      <c r="H50" s="2" t="s">
        <v>166</v>
      </c>
      <c r="I50" s="2"/>
      <c r="J50" s="6" t="n">
        <v>210.4</v>
      </c>
      <c r="K50" s="6" t="n">
        <v>841.766</v>
      </c>
      <c r="L50" s="2" t="s">
        <v>458</v>
      </c>
      <c r="M50" s="7" t="n">
        <v>-0.0435</v>
      </c>
      <c r="N50" s="2" t="s">
        <v>459</v>
      </c>
      <c r="O50" s="2" t="s">
        <v>351</v>
      </c>
    </row>
    <row r="51" customFormat="false" ht="15" hidden="false" customHeight="false" outlineLevel="0" collapsed="false">
      <c r="A51" s="2" t="s">
        <v>248</v>
      </c>
      <c r="B51" s="2" t="s">
        <v>22</v>
      </c>
      <c r="C51" s="2" t="s">
        <v>22</v>
      </c>
      <c r="D51" s="2" t="s">
        <v>27</v>
      </c>
      <c r="E51" s="2" t="s">
        <v>247</v>
      </c>
      <c r="F51" s="2" t="s">
        <v>79</v>
      </c>
      <c r="G51" s="2" t="s">
        <v>70</v>
      </c>
      <c r="H51" s="2" t="s">
        <v>246</v>
      </c>
      <c r="I51" s="2"/>
      <c r="J51" s="6" t="n">
        <v>2430</v>
      </c>
      <c r="K51" s="6" t="n">
        <v>20602.5</v>
      </c>
      <c r="L51" s="2" t="s">
        <v>458</v>
      </c>
      <c r="M51" s="7" t="n">
        <v>0.0174074</v>
      </c>
      <c r="N51" s="2" t="s">
        <v>459</v>
      </c>
      <c r="O51" s="2" t="s">
        <v>351</v>
      </c>
    </row>
    <row r="52" customFormat="false" ht="15" hidden="false" customHeight="false" outlineLevel="0" collapsed="false">
      <c r="A52" s="2" t="s">
        <v>245</v>
      </c>
      <c r="B52" s="2" t="s">
        <v>22</v>
      </c>
      <c r="C52" s="2" t="s">
        <v>22</v>
      </c>
      <c r="D52" s="2" t="s">
        <v>27</v>
      </c>
      <c r="E52" s="2" t="s">
        <v>244</v>
      </c>
      <c r="F52" s="2"/>
      <c r="G52" s="2" t="s">
        <v>89</v>
      </c>
      <c r="H52" s="2" t="s">
        <v>246</v>
      </c>
      <c r="I52" s="2"/>
      <c r="J52" s="6" t="n">
        <v>175</v>
      </c>
      <c r="K52" s="6" t="n">
        <v>255.421</v>
      </c>
      <c r="L52" s="2" t="s">
        <v>458</v>
      </c>
      <c r="M52" s="7" t="n">
        <v>-0.00600004</v>
      </c>
      <c r="N52" s="2" t="s">
        <v>459</v>
      </c>
      <c r="O52" s="2" t="s">
        <v>351</v>
      </c>
    </row>
    <row r="53" customFormat="false" ht="15" hidden="false" customHeight="false" outlineLevel="0" collapsed="false">
      <c r="A53" s="2" t="s">
        <v>267</v>
      </c>
      <c r="B53" s="2" t="s">
        <v>22</v>
      </c>
      <c r="C53" s="2" t="s">
        <v>22</v>
      </c>
      <c r="D53" s="2" t="s">
        <v>27</v>
      </c>
      <c r="E53" s="2" t="s">
        <v>266</v>
      </c>
      <c r="F53" s="2"/>
      <c r="G53" s="2" t="s">
        <v>89</v>
      </c>
      <c r="H53" s="2" t="s">
        <v>261</v>
      </c>
      <c r="I53" s="2"/>
      <c r="J53" s="6" t="n">
        <v>200</v>
      </c>
      <c r="K53" s="6" t="n">
        <v>226.226</v>
      </c>
      <c r="L53" s="2" t="s">
        <v>458</v>
      </c>
      <c r="M53" s="7" t="n">
        <v>0.00100002</v>
      </c>
      <c r="N53" s="2" t="s">
        <v>459</v>
      </c>
      <c r="O53" s="2" t="s">
        <v>351</v>
      </c>
    </row>
    <row r="54" customFormat="false" ht="15" hidden="false" customHeight="false" outlineLevel="0" collapsed="false">
      <c r="A54" s="2" t="s">
        <v>310</v>
      </c>
      <c r="B54" s="2" t="s">
        <v>22</v>
      </c>
      <c r="C54" s="2" t="s">
        <v>22</v>
      </c>
      <c r="D54" s="2" t="s">
        <v>27</v>
      </c>
      <c r="E54" s="2" t="s">
        <v>309</v>
      </c>
      <c r="F54" s="2"/>
      <c r="G54" s="2" t="s">
        <v>70</v>
      </c>
      <c r="H54" s="2" t="s">
        <v>311</v>
      </c>
      <c r="I54" s="2"/>
      <c r="J54" s="6" t="n">
        <v>312.1952</v>
      </c>
      <c r="K54" s="6" t="n">
        <v>1415.39</v>
      </c>
      <c r="L54" s="2" t="s">
        <v>458</v>
      </c>
      <c r="M54" s="7" t="n">
        <v>-0.2875</v>
      </c>
      <c r="N54" s="2" t="s">
        <v>459</v>
      </c>
      <c r="O54" s="2" t="s">
        <v>351</v>
      </c>
    </row>
    <row r="55" customFormat="false" ht="15" hidden="false" customHeight="false" outlineLevel="0" collapsed="false">
      <c r="A55" s="2" t="s">
        <v>274</v>
      </c>
      <c r="B55" s="2" t="s">
        <v>22</v>
      </c>
      <c r="C55" s="2" t="s">
        <v>22</v>
      </c>
      <c r="D55" s="2" t="s">
        <v>27</v>
      </c>
      <c r="E55" s="2" t="s">
        <v>273</v>
      </c>
      <c r="F55" s="2"/>
      <c r="G55" s="2" t="s">
        <v>89</v>
      </c>
      <c r="H55" s="2" t="s">
        <v>270</v>
      </c>
      <c r="I55" s="2"/>
      <c r="J55" s="6" t="n">
        <v>150</v>
      </c>
      <c r="K55" s="6" t="n">
        <v>253.105</v>
      </c>
      <c r="L55" s="2" t="s">
        <v>458</v>
      </c>
      <c r="M55" s="7" t="n">
        <v>0.00769997</v>
      </c>
      <c r="N55" s="2" t="s">
        <v>459</v>
      </c>
      <c r="O55" s="2" t="s">
        <v>351</v>
      </c>
    </row>
    <row r="56" customFormat="false" ht="15" hidden="false" customHeight="false" outlineLevel="0" collapsed="false">
      <c r="A56" s="2" t="s">
        <v>116</v>
      </c>
      <c r="B56" s="2" t="s">
        <v>22</v>
      </c>
      <c r="C56" s="2" t="s">
        <v>22</v>
      </c>
      <c r="D56" s="2" t="s">
        <v>27</v>
      </c>
      <c r="E56" s="2" t="s">
        <v>115</v>
      </c>
      <c r="F56" s="2" t="s">
        <v>118</v>
      </c>
      <c r="G56" s="2" t="s">
        <v>70</v>
      </c>
      <c r="H56" s="2" t="s">
        <v>117</v>
      </c>
      <c r="I56" s="2"/>
      <c r="J56" s="6" t="n">
        <v>25</v>
      </c>
      <c r="K56" s="6" t="n">
        <v>34.3294</v>
      </c>
      <c r="L56" s="2" t="s">
        <v>458</v>
      </c>
      <c r="M56" s="7" t="n">
        <v>-0.575</v>
      </c>
      <c r="N56" s="2" t="s">
        <v>459</v>
      </c>
      <c r="O56" s="2" t="s">
        <v>351</v>
      </c>
    </row>
    <row r="57" customFormat="false" ht="15" hidden="false" customHeight="false" outlineLevel="0" collapsed="false">
      <c r="A57" s="2" t="s">
        <v>158</v>
      </c>
      <c r="B57" s="2" t="s">
        <v>22</v>
      </c>
      <c r="C57" s="2" t="s">
        <v>22</v>
      </c>
      <c r="D57" s="2" t="s">
        <v>27</v>
      </c>
      <c r="E57" s="2" t="s">
        <v>157</v>
      </c>
      <c r="F57" s="2" t="s">
        <v>160</v>
      </c>
      <c r="G57" s="2" t="s">
        <v>70</v>
      </c>
      <c r="H57" s="2" t="s">
        <v>159</v>
      </c>
      <c r="I57" s="2"/>
      <c r="J57" s="6" t="n">
        <v>840</v>
      </c>
      <c r="K57" s="6" t="n">
        <v>8803.43</v>
      </c>
      <c r="L57" s="2" t="s">
        <v>458</v>
      </c>
      <c r="M57" s="7" t="n">
        <v>0.508</v>
      </c>
      <c r="N57" s="2" t="s">
        <v>459</v>
      </c>
      <c r="O57" s="2" t="s">
        <v>351</v>
      </c>
    </row>
    <row r="58" customFormat="false" ht="15" hidden="false" customHeight="false" outlineLevel="0" collapsed="false">
      <c r="A58" s="2" t="s">
        <v>173</v>
      </c>
      <c r="B58" s="2" t="s">
        <v>22</v>
      </c>
      <c r="C58" s="2" t="s">
        <v>22</v>
      </c>
      <c r="D58" s="2" t="s">
        <v>27</v>
      </c>
      <c r="E58" s="2" t="s">
        <v>172</v>
      </c>
      <c r="F58" s="2"/>
      <c r="G58" s="2" t="s">
        <v>89</v>
      </c>
      <c r="H58" s="2" t="s">
        <v>174</v>
      </c>
      <c r="I58" s="2"/>
      <c r="J58" s="6" t="n">
        <v>60</v>
      </c>
      <c r="K58" s="6" t="n">
        <v>88.275</v>
      </c>
      <c r="L58" s="2" t="s">
        <v>458</v>
      </c>
      <c r="M58" s="7" t="n">
        <v>0.1</v>
      </c>
      <c r="N58" s="2" t="s">
        <v>459</v>
      </c>
      <c r="O58" s="2" t="s">
        <v>351</v>
      </c>
    </row>
    <row r="59" customFormat="false" ht="15" hidden="false" customHeight="false" outlineLevel="0" collapsed="false">
      <c r="A59" s="2" t="s">
        <v>339</v>
      </c>
      <c r="B59" s="2" t="s">
        <v>22</v>
      </c>
      <c r="C59" s="2" t="s">
        <v>22</v>
      </c>
      <c r="D59" s="2" t="s">
        <v>27</v>
      </c>
      <c r="E59" s="2" t="s">
        <v>338</v>
      </c>
      <c r="F59" s="2"/>
      <c r="G59" s="2" t="s">
        <v>89</v>
      </c>
      <c r="H59" s="2" t="s">
        <v>340</v>
      </c>
      <c r="I59" s="2"/>
      <c r="J59" s="6" t="n">
        <v>200</v>
      </c>
      <c r="K59" s="6" t="n">
        <v>271.205</v>
      </c>
      <c r="L59" s="2" t="s">
        <v>458</v>
      </c>
      <c r="M59" s="7" t="n">
        <v>-0.00699997</v>
      </c>
      <c r="N59" s="2" t="s">
        <v>459</v>
      </c>
      <c r="O59" s="2" t="s">
        <v>351</v>
      </c>
    </row>
    <row r="60" customFormat="false" ht="15" hidden="false" customHeight="false" outlineLevel="0" collapsed="false">
      <c r="A60" s="2" t="s">
        <v>292</v>
      </c>
      <c r="B60" s="2" t="s">
        <v>22</v>
      </c>
      <c r="C60" s="2" t="s">
        <v>22</v>
      </c>
      <c r="D60" s="2" t="s">
        <v>27</v>
      </c>
      <c r="E60" s="2" t="s">
        <v>291</v>
      </c>
      <c r="F60" s="2" t="s">
        <v>75</v>
      </c>
      <c r="G60" s="2" t="s">
        <v>70</v>
      </c>
      <c r="H60" s="2" t="s">
        <v>286</v>
      </c>
      <c r="I60" s="2"/>
      <c r="J60" s="6" t="n">
        <v>400</v>
      </c>
      <c r="K60" s="6" t="n">
        <v>1992.11</v>
      </c>
      <c r="L60" s="2" t="s">
        <v>458</v>
      </c>
      <c r="M60" s="7" t="n">
        <v>0.3375</v>
      </c>
      <c r="N60" s="2" t="s">
        <v>459</v>
      </c>
      <c r="O60" s="2" t="s">
        <v>351</v>
      </c>
    </row>
    <row r="61" customFormat="false" ht="15" hidden="false" customHeight="false" outlineLevel="0" collapsed="false">
      <c r="A61" s="2" t="s">
        <v>143</v>
      </c>
      <c r="B61" s="2" t="s">
        <v>22</v>
      </c>
      <c r="C61" s="2" t="s">
        <v>22</v>
      </c>
      <c r="D61" s="2" t="s">
        <v>27</v>
      </c>
      <c r="E61" s="2" t="s">
        <v>142</v>
      </c>
      <c r="F61" s="2"/>
      <c r="G61" s="2" t="s">
        <v>89</v>
      </c>
      <c r="H61" s="2" t="s">
        <v>144</v>
      </c>
      <c r="I61" s="2"/>
      <c r="J61" s="6" t="n">
        <v>200</v>
      </c>
      <c r="K61" s="6" t="n">
        <v>335.92</v>
      </c>
      <c r="L61" s="2" t="s">
        <v>458</v>
      </c>
      <c r="M61" s="7" t="n">
        <v>0.064</v>
      </c>
      <c r="N61" s="2" t="s">
        <v>459</v>
      </c>
      <c r="O61" s="2" t="s">
        <v>351</v>
      </c>
    </row>
    <row r="62" customFormat="false" ht="15" hidden="false" customHeight="false" outlineLevel="0" collapsed="false">
      <c r="A62" s="2" t="s">
        <v>178</v>
      </c>
      <c r="B62" s="2" t="s">
        <v>22</v>
      </c>
      <c r="C62" s="2" t="s">
        <v>22</v>
      </c>
      <c r="D62" s="2" t="s">
        <v>27</v>
      </c>
      <c r="E62" s="2" t="s">
        <v>177</v>
      </c>
      <c r="F62" s="2" t="s">
        <v>75</v>
      </c>
      <c r="G62" s="2" t="s">
        <v>70</v>
      </c>
      <c r="H62" s="2" t="s">
        <v>174</v>
      </c>
      <c r="I62" s="2"/>
      <c r="J62" s="6" t="n">
        <v>625</v>
      </c>
      <c r="K62" s="6" t="n">
        <v>2320.52</v>
      </c>
      <c r="L62" s="2" t="s">
        <v>458</v>
      </c>
      <c r="M62" s="7" t="n">
        <v>0.119375</v>
      </c>
      <c r="N62" s="2" t="s">
        <v>459</v>
      </c>
      <c r="O62" s="2" t="s">
        <v>351</v>
      </c>
    </row>
    <row r="63" customFormat="false" ht="15" hidden="false" customHeight="false" outlineLevel="0" collapsed="false">
      <c r="A63" s="2" t="s">
        <v>235</v>
      </c>
      <c r="B63" s="2" t="s">
        <v>22</v>
      </c>
      <c r="C63" s="2" t="s">
        <v>22</v>
      </c>
      <c r="D63" s="2" t="s">
        <v>27</v>
      </c>
      <c r="E63" s="2" t="s">
        <v>234</v>
      </c>
      <c r="F63" s="2" t="s">
        <v>83</v>
      </c>
      <c r="G63" s="2" t="s">
        <v>70</v>
      </c>
      <c r="H63" s="2" t="s">
        <v>236</v>
      </c>
      <c r="I63" s="2"/>
      <c r="J63" s="6" t="n">
        <v>421</v>
      </c>
      <c r="K63" s="6" t="n">
        <v>2311.67</v>
      </c>
      <c r="L63" s="2" t="s">
        <v>458</v>
      </c>
      <c r="M63" s="7" t="n">
        <v>0.133</v>
      </c>
      <c r="N63" s="2" t="s">
        <v>459</v>
      </c>
      <c r="O63" s="2" t="s">
        <v>351</v>
      </c>
    </row>
    <row r="64" customFormat="false" ht="15" hidden="false" customHeight="false" outlineLevel="0" collapsed="false">
      <c r="A64" s="2" t="s">
        <v>250</v>
      </c>
      <c r="B64" s="2" t="s">
        <v>22</v>
      </c>
      <c r="C64" s="2" t="s">
        <v>22</v>
      </c>
      <c r="D64" s="2" t="s">
        <v>27</v>
      </c>
      <c r="E64" s="2" t="s">
        <v>249</v>
      </c>
      <c r="F64" s="2" t="s">
        <v>251</v>
      </c>
      <c r="G64" s="2" t="s">
        <v>70</v>
      </c>
      <c r="H64" s="2" t="s">
        <v>246</v>
      </c>
      <c r="I64" s="2"/>
      <c r="J64" s="6" t="n">
        <v>437</v>
      </c>
      <c r="K64" s="6" t="n">
        <v>3921.7</v>
      </c>
      <c r="L64" s="2" t="s">
        <v>458</v>
      </c>
      <c r="M64" s="7" t="n">
        <v>0.00695651</v>
      </c>
      <c r="N64" s="2" t="s">
        <v>459</v>
      </c>
      <c r="O64" s="2" t="s">
        <v>351</v>
      </c>
    </row>
    <row r="65" customFormat="false" ht="15" hidden="false" customHeight="false" outlineLevel="0" collapsed="false">
      <c r="A65" s="2" t="s">
        <v>94</v>
      </c>
      <c r="B65" s="2" t="s">
        <v>22</v>
      </c>
      <c r="C65" s="2" t="s">
        <v>22</v>
      </c>
      <c r="D65" s="2" t="s">
        <v>27</v>
      </c>
      <c r="E65" s="2" t="s">
        <v>93</v>
      </c>
      <c r="F65" s="2" t="s">
        <v>83</v>
      </c>
      <c r="G65" s="2" t="s">
        <v>70</v>
      </c>
      <c r="H65" s="2" t="s">
        <v>92</v>
      </c>
      <c r="I65" s="2"/>
      <c r="J65" s="6" t="n">
        <v>199.9997</v>
      </c>
      <c r="K65" s="6" t="n">
        <v>1167.83</v>
      </c>
      <c r="L65" s="2" t="s">
        <v>458</v>
      </c>
      <c r="M65" s="7" t="n">
        <v>-0.0263158</v>
      </c>
      <c r="N65" s="2" t="s">
        <v>459</v>
      </c>
      <c r="O65" s="2" t="s">
        <v>351</v>
      </c>
    </row>
    <row r="66" customFormat="false" ht="15" hidden="false" customHeight="false" outlineLevel="0" collapsed="false">
      <c r="A66" s="2" t="s">
        <v>315</v>
      </c>
      <c r="B66" s="2" t="s">
        <v>22</v>
      </c>
      <c r="C66" s="2" t="s">
        <v>22</v>
      </c>
      <c r="D66" s="2" t="s">
        <v>27</v>
      </c>
      <c r="E66" s="2" t="s">
        <v>314</v>
      </c>
      <c r="F66" s="2" t="s">
        <v>79</v>
      </c>
      <c r="G66" s="2" t="s">
        <v>70</v>
      </c>
      <c r="H66" s="2" t="s">
        <v>311</v>
      </c>
      <c r="I66" s="2"/>
      <c r="J66" s="6" t="n">
        <v>173.913</v>
      </c>
      <c r="K66" s="6" t="n">
        <v>1601.93</v>
      </c>
      <c r="L66" s="2" t="s">
        <v>458</v>
      </c>
      <c r="M66" s="7" t="n">
        <v>0.000800018</v>
      </c>
      <c r="N66" s="2" t="s">
        <v>459</v>
      </c>
      <c r="O66" s="2" t="s">
        <v>351</v>
      </c>
    </row>
    <row r="67" customFormat="false" ht="15" hidden="false" customHeight="false" outlineLevel="0" collapsed="false">
      <c r="A67" s="2" t="s">
        <v>240</v>
      </c>
      <c r="B67" s="2" t="s">
        <v>22</v>
      </c>
      <c r="C67" s="2" t="s">
        <v>22</v>
      </c>
      <c r="D67" s="2" t="s">
        <v>27</v>
      </c>
      <c r="E67" s="2" t="s">
        <v>239</v>
      </c>
      <c r="F67" s="2"/>
      <c r="G67" s="2" t="s">
        <v>89</v>
      </c>
      <c r="H67" s="2" t="s">
        <v>241</v>
      </c>
      <c r="I67" s="2"/>
      <c r="J67" s="6" t="n">
        <v>150</v>
      </c>
      <c r="K67" s="6" t="n">
        <v>230.46</v>
      </c>
      <c r="L67" s="2" t="s">
        <v>458</v>
      </c>
      <c r="M67" s="7" t="n">
        <v>0.00200005</v>
      </c>
      <c r="N67" s="2" t="s">
        <v>459</v>
      </c>
      <c r="O67" s="2" t="s">
        <v>351</v>
      </c>
    </row>
    <row r="68" customFormat="false" ht="15" hidden="false" customHeight="false" outlineLevel="0" collapsed="false">
      <c r="A68" s="2" t="s">
        <v>171</v>
      </c>
      <c r="B68" s="2" t="s">
        <v>22</v>
      </c>
      <c r="C68" s="2" t="s">
        <v>22</v>
      </c>
      <c r="D68" s="2" t="s">
        <v>27</v>
      </c>
      <c r="E68" s="2" t="s">
        <v>170</v>
      </c>
      <c r="F68" s="2" t="s">
        <v>79</v>
      </c>
      <c r="G68" s="2" t="s">
        <v>70</v>
      </c>
      <c r="H68" s="2" t="s">
        <v>169</v>
      </c>
      <c r="I68" s="2"/>
      <c r="J68" s="6" t="n">
        <v>2232.6921</v>
      </c>
      <c r="K68" s="6" t="n">
        <v>17333.8</v>
      </c>
      <c r="L68" s="2" t="s">
        <v>458</v>
      </c>
      <c r="M68" s="7" t="n">
        <v>0.280741</v>
      </c>
      <c r="N68" s="2" t="s">
        <v>459</v>
      </c>
      <c r="O68" s="2" t="s">
        <v>351</v>
      </c>
    </row>
    <row r="69" customFormat="false" ht="15" hidden="false" customHeight="false" outlineLevel="0" collapsed="false">
      <c r="A69" s="2" t="s">
        <v>98</v>
      </c>
      <c r="B69" s="2" t="s">
        <v>22</v>
      </c>
      <c r="C69" s="2" t="s">
        <v>22</v>
      </c>
      <c r="D69" s="2" t="s">
        <v>27</v>
      </c>
      <c r="E69" s="2" t="s">
        <v>97</v>
      </c>
      <c r="F69" s="2" t="s">
        <v>75</v>
      </c>
      <c r="G69" s="2" t="s">
        <v>70</v>
      </c>
      <c r="H69" s="2" t="s">
        <v>99</v>
      </c>
      <c r="I69" s="2"/>
      <c r="J69" s="6" t="n">
        <v>256.3192</v>
      </c>
      <c r="K69" s="6" t="n">
        <v>4428.21</v>
      </c>
      <c r="L69" s="2" t="s">
        <v>458</v>
      </c>
      <c r="M69" s="7" t="n">
        <v>5.23765</v>
      </c>
      <c r="N69" s="2" t="s">
        <v>459</v>
      </c>
      <c r="O69" s="2" t="s">
        <v>351</v>
      </c>
    </row>
    <row r="70" customFormat="false" ht="15" hidden="false" customHeight="false" outlineLevel="0" collapsed="false">
      <c r="A70" s="2" t="s">
        <v>319</v>
      </c>
      <c r="B70" s="2" t="s">
        <v>22</v>
      </c>
      <c r="C70" s="2" t="s">
        <v>22</v>
      </c>
      <c r="D70" s="2" t="s">
        <v>27</v>
      </c>
      <c r="E70" s="2" t="s">
        <v>318</v>
      </c>
      <c r="F70" s="2"/>
      <c r="G70" s="2" t="s">
        <v>89</v>
      </c>
      <c r="H70" s="2" t="s">
        <v>320</v>
      </c>
      <c r="I70" s="2"/>
      <c r="J70" s="6" t="n">
        <v>175</v>
      </c>
      <c r="K70" s="6" t="n">
        <v>251.059</v>
      </c>
      <c r="L70" s="2" t="s">
        <v>458</v>
      </c>
      <c r="M70" s="7" t="n">
        <v>-0.00200005</v>
      </c>
      <c r="N70" s="2" t="s">
        <v>459</v>
      </c>
      <c r="O70" s="2" t="s">
        <v>351</v>
      </c>
    </row>
    <row r="71" customFormat="false" ht="15" hidden="false" customHeight="false" outlineLevel="0" collapsed="false">
      <c r="A71" s="2" t="s">
        <v>150</v>
      </c>
      <c r="B71" s="2" t="s">
        <v>22</v>
      </c>
      <c r="C71" s="2" t="s">
        <v>22</v>
      </c>
      <c r="D71" s="2" t="s">
        <v>27</v>
      </c>
      <c r="E71" s="2" t="s">
        <v>149</v>
      </c>
      <c r="F71" s="2" t="s">
        <v>75</v>
      </c>
      <c r="G71" s="2" t="s">
        <v>70</v>
      </c>
      <c r="H71" s="2" t="s">
        <v>147</v>
      </c>
      <c r="I71" s="2"/>
      <c r="J71" s="6" t="n">
        <v>560</v>
      </c>
      <c r="K71" s="6" t="n">
        <v>4751.86</v>
      </c>
      <c r="L71" s="2" t="s">
        <v>458</v>
      </c>
      <c r="M71" s="7" t="n">
        <v>-0.154</v>
      </c>
      <c r="N71" s="2" t="s">
        <v>459</v>
      </c>
      <c r="O71" s="2" t="s">
        <v>351</v>
      </c>
    </row>
    <row r="72" customFormat="false" ht="15" hidden="false" customHeight="false" outlineLevel="0" collapsed="false">
      <c r="A72" s="2" t="s">
        <v>211</v>
      </c>
      <c r="B72" s="2" t="s">
        <v>22</v>
      </c>
      <c r="C72" s="2" t="s">
        <v>22</v>
      </c>
      <c r="D72" s="2" t="s">
        <v>27</v>
      </c>
      <c r="E72" s="2" t="s">
        <v>210</v>
      </c>
      <c r="F72" s="2" t="s">
        <v>75</v>
      </c>
      <c r="G72" s="2" t="s">
        <v>70</v>
      </c>
      <c r="H72" s="2" t="s">
        <v>212</v>
      </c>
      <c r="I72" s="2"/>
      <c r="J72" s="6" t="n">
        <v>150</v>
      </c>
      <c r="K72" s="6" t="n">
        <v>399.321</v>
      </c>
      <c r="L72" s="2" t="s">
        <v>458</v>
      </c>
      <c r="M72" s="7" t="n">
        <v>-0.199333</v>
      </c>
      <c r="N72" s="2" t="s">
        <v>459</v>
      </c>
      <c r="O72" s="2" t="s">
        <v>351</v>
      </c>
    </row>
    <row r="73" customFormat="false" ht="15" hidden="false" customHeight="false" outlineLevel="0" collapsed="false">
      <c r="A73" s="2" t="s">
        <v>328</v>
      </c>
      <c r="B73" s="2" t="s">
        <v>22</v>
      </c>
      <c r="C73" s="2" t="s">
        <v>22</v>
      </c>
      <c r="D73" s="2" t="s">
        <v>27</v>
      </c>
      <c r="E73" s="2" t="s">
        <v>327</v>
      </c>
      <c r="F73" s="2"/>
      <c r="G73" s="2" t="s">
        <v>89</v>
      </c>
      <c r="H73" s="2" t="s">
        <v>329</v>
      </c>
      <c r="I73" s="2"/>
      <c r="J73" s="6" t="n">
        <v>150</v>
      </c>
      <c r="K73" s="6" t="n">
        <v>230.23</v>
      </c>
      <c r="L73" s="2" t="s">
        <v>458</v>
      </c>
      <c r="M73" s="7" t="n">
        <v>0.00100002</v>
      </c>
      <c r="N73" s="2" t="s">
        <v>459</v>
      </c>
      <c r="O73" s="2" t="s">
        <v>351</v>
      </c>
    </row>
    <row r="74" customFormat="false" ht="15" hidden="false" customHeight="false" outlineLevel="0" collapsed="false">
      <c r="A74" s="2" t="s">
        <v>120</v>
      </c>
      <c r="B74" s="2" t="s">
        <v>22</v>
      </c>
      <c r="C74" s="2" t="s">
        <v>22</v>
      </c>
      <c r="D74" s="2" t="s">
        <v>27</v>
      </c>
      <c r="E74" s="2" t="s">
        <v>119</v>
      </c>
      <c r="F74" s="2" t="s">
        <v>79</v>
      </c>
      <c r="G74" s="2" t="s">
        <v>70</v>
      </c>
      <c r="H74" s="2" t="s">
        <v>121</v>
      </c>
      <c r="I74" s="2"/>
      <c r="J74" s="6" t="n">
        <v>512.5</v>
      </c>
      <c r="K74" s="6" t="n">
        <v>5662.92</v>
      </c>
      <c r="L74" s="2" t="s">
        <v>458</v>
      </c>
      <c r="M74" s="7" t="n">
        <v>0.1192</v>
      </c>
      <c r="N74" s="2" t="s">
        <v>459</v>
      </c>
      <c r="O74" s="2" t="s">
        <v>351</v>
      </c>
    </row>
    <row r="75" customFormat="false" ht="15" hidden="false" customHeight="false" outlineLevel="0" collapsed="false">
      <c r="A75" s="2" t="s">
        <v>353</v>
      </c>
      <c r="B75" s="2" t="s">
        <v>22</v>
      </c>
      <c r="C75" s="2" t="s">
        <v>22</v>
      </c>
      <c r="D75" s="2" t="s">
        <v>27</v>
      </c>
      <c r="E75" s="2" t="s">
        <v>352</v>
      </c>
      <c r="F75" s="2"/>
      <c r="G75" s="2" t="s">
        <v>89</v>
      </c>
      <c r="H75" s="2" t="s">
        <v>351</v>
      </c>
      <c r="I75" s="2"/>
      <c r="J75" s="6" t="n">
        <v>100</v>
      </c>
      <c r="K75" s="6" t="n">
        <v>102.243</v>
      </c>
      <c r="L75" s="2" t="s">
        <v>458</v>
      </c>
      <c r="N75" s="2" t="s">
        <v>459</v>
      </c>
      <c r="O75" s="2" t="s">
        <v>351</v>
      </c>
    </row>
    <row r="76" customFormat="false" ht="15" hidden="false" customHeight="false" outlineLevel="0" collapsed="false">
      <c r="A76" s="2" t="s">
        <v>263</v>
      </c>
      <c r="B76" s="2" t="s">
        <v>22</v>
      </c>
      <c r="C76" s="2" t="s">
        <v>22</v>
      </c>
      <c r="D76" s="2" t="s">
        <v>27</v>
      </c>
      <c r="E76" s="2" t="s">
        <v>262</v>
      </c>
      <c r="F76" s="2"/>
      <c r="G76" s="2" t="s">
        <v>89</v>
      </c>
      <c r="H76" s="2" t="s">
        <v>261</v>
      </c>
      <c r="I76" s="2"/>
      <c r="J76" s="6" t="n">
        <v>100</v>
      </c>
      <c r="K76" s="6" t="n">
        <v>160.447</v>
      </c>
      <c r="L76" s="2" t="s">
        <v>458</v>
      </c>
      <c r="M76" s="7" t="n">
        <v>0.025</v>
      </c>
      <c r="N76" s="2" t="s">
        <v>459</v>
      </c>
      <c r="O76" s="2" t="s">
        <v>351</v>
      </c>
    </row>
    <row r="77" customFormat="false" ht="15" hidden="false" customHeight="false" outlineLevel="0" collapsed="false">
      <c r="A77" s="2" t="s">
        <v>214</v>
      </c>
      <c r="B77" s="2" t="s">
        <v>22</v>
      </c>
      <c r="C77" s="2" t="s">
        <v>22</v>
      </c>
      <c r="D77" s="2" t="s">
        <v>27</v>
      </c>
      <c r="E77" s="2" t="s">
        <v>213</v>
      </c>
      <c r="F77" s="2" t="s">
        <v>75</v>
      </c>
      <c r="G77" s="2" t="s">
        <v>70</v>
      </c>
      <c r="H77" s="2" t="s">
        <v>212</v>
      </c>
      <c r="I77" s="2"/>
      <c r="J77" s="6" t="n">
        <v>279</v>
      </c>
      <c r="K77" s="6" t="n">
        <v>844.391</v>
      </c>
      <c r="L77" s="2" t="s">
        <v>458</v>
      </c>
      <c r="M77" s="7" t="n">
        <v>-0.0233333</v>
      </c>
      <c r="N77" s="2" t="s">
        <v>459</v>
      </c>
      <c r="O77" s="2" t="s">
        <v>351</v>
      </c>
    </row>
    <row r="78" customFormat="false" ht="15" hidden="false" customHeight="false" outlineLevel="0" collapsed="false">
      <c r="A78" s="2" t="s">
        <v>111</v>
      </c>
      <c r="B78" s="2" t="s">
        <v>22</v>
      </c>
      <c r="C78" s="2" t="s">
        <v>22</v>
      </c>
      <c r="D78" s="2" t="s">
        <v>27</v>
      </c>
      <c r="E78" s="2" t="s">
        <v>110</v>
      </c>
      <c r="F78" s="2" t="s">
        <v>71</v>
      </c>
      <c r="G78" s="2" t="s">
        <v>70</v>
      </c>
      <c r="H78" s="2" t="s">
        <v>112</v>
      </c>
      <c r="I78" s="2"/>
      <c r="J78" s="6" t="n">
        <v>197.9496</v>
      </c>
      <c r="K78" s="6" t="n">
        <v>683.841</v>
      </c>
      <c r="L78" s="2" t="s">
        <v>458</v>
      </c>
      <c r="M78" s="7" t="n">
        <v>-0.0933333</v>
      </c>
      <c r="N78" s="2" t="s">
        <v>459</v>
      </c>
      <c r="O78" s="2" t="s">
        <v>351</v>
      </c>
    </row>
    <row r="79" customFormat="false" ht="15" hidden="false" customHeight="false" outlineLevel="0" collapsed="false">
      <c r="A79" s="2" t="s">
        <v>313</v>
      </c>
      <c r="B79" s="2" t="s">
        <v>22</v>
      </c>
      <c r="C79" s="2" t="s">
        <v>22</v>
      </c>
      <c r="D79" s="2" t="s">
        <v>27</v>
      </c>
      <c r="E79" s="2" t="s">
        <v>312</v>
      </c>
      <c r="F79" s="2"/>
      <c r="G79" s="2" t="s">
        <v>89</v>
      </c>
      <c r="H79" s="2" t="s">
        <v>311</v>
      </c>
      <c r="I79" s="2"/>
      <c r="J79" s="6" t="n">
        <v>261</v>
      </c>
      <c r="K79" s="6" t="n">
        <v>414.672</v>
      </c>
      <c r="L79" s="2" t="s">
        <v>458</v>
      </c>
      <c r="M79" s="7" t="n">
        <v>0.011</v>
      </c>
      <c r="N79" s="2" t="s">
        <v>459</v>
      </c>
      <c r="O79" s="2" t="s">
        <v>351</v>
      </c>
    </row>
    <row r="80" customFormat="false" ht="15" hidden="false" customHeight="false" outlineLevel="0" collapsed="false">
      <c r="A80" s="2" t="s">
        <v>152</v>
      </c>
      <c r="B80" s="2" t="s">
        <v>22</v>
      </c>
      <c r="C80" s="2" t="s">
        <v>22</v>
      </c>
      <c r="D80" s="2" t="s">
        <v>27</v>
      </c>
      <c r="E80" s="2" t="s">
        <v>151</v>
      </c>
      <c r="F80" s="2" t="s">
        <v>83</v>
      </c>
      <c r="G80" s="2" t="s">
        <v>70</v>
      </c>
      <c r="H80" s="2" t="s">
        <v>153</v>
      </c>
      <c r="I80" s="2"/>
      <c r="J80" s="6" t="n">
        <v>879.7952</v>
      </c>
      <c r="K80" s="6" t="n">
        <v>10167.9</v>
      </c>
      <c r="L80" s="2" t="s">
        <v>458</v>
      </c>
      <c r="M80" s="7" t="n">
        <v>-0.06125</v>
      </c>
      <c r="N80" s="2" t="s">
        <v>459</v>
      </c>
      <c r="O80" s="2" t="s">
        <v>351</v>
      </c>
    </row>
    <row r="81" customFormat="false" ht="15" hidden="false" customHeight="false" outlineLevel="0" collapsed="false">
      <c r="A81" s="2" t="s">
        <v>269</v>
      </c>
      <c r="B81" s="2" t="s">
        <v>22</v>
      </c>
      <c r="C81" s="2" t="s">
        <v>22</v>
      </c>
      <c r="D81" s="2" t="s">
        <v>27</v>
      </c>
      <c r="E81" s="2" t="s">
        <v>268</v>
      </c>
      <c r="F81" s="2" t="s">
        <v>75</v>
      </c>
      <c r="G81" s="2" t="s">
        <v>70</v>
      </c>
      <c r="H81" s="2" t="s">
        <v>270</v>
      </c>
      <c r="I81" s="2"/>
      <c r="J81" s="6" t="n">
        <v>670</v>
      </c>
      <c r="K81" s="6" t="n">
        <v>3363.79</v>
      </c>
      <c r="L81" s="2" t="s">
        <v>458</v>
      </c>
      <c r="M81" s="7" t="n">
        <v>0.3655</v>
      </c>
      <c r="N81" s="2" t="s">
        <v>459</v>
      </c>
      <c r="O81" s="2" t="s">
        <v>351</v>
      </c>
    </row>
    <row r="82" customFormat="false" ht="15" hidden="false" customHeight="false" outlineLevel="0" collapsed="false">
      <c r="A82" s="2" t="s">
        <v>91</v>
      </c>
      <c r="B82" s="2" t="s">
        <v>22</v>
      </c>
      <c r="C82" s="2" t="s">
        <v>22</v>
      </c>
      <c r="D82" s="2" t="s">
        <v>27</v>
      </c>
      <c r="E82" s="2" t="s">
        <v>90</v>
      </c>
      <c r="F82" s="2" t="s">
        <v>83</v>
      </c>
      <c r="G82" s="2" t="s">
        <v>70</v>
      </c>
      <c r="H82" s="2" t="s">
        <v>92</v>
      </c>
      <c r="I82" s="2"/>
      <c r="J82" s="6" t="n">
        <v>434.2849</v>
      </c>
      <c r="K82" s="6" t="n">
        <v>1516.17</v>
      </c>
      <c r="L82" s="2" t="s">
        <v>458</v>
      </c>
      <c r="M82" s="7" t="n">
        <v>-0.384211</v>
      </c>
      <c r="N82" s="2" t="s">
        <v>459</v>
      </c>
      <c r="O82" s="2" t="s">
        <v>351</v>
      </c>
    </row>
    <row r="83" customFormat="false" ht="15" hidden="false" customHeight="false" outlineLevel="0" collapsed="false">
      <c r="A83" s="2" t="s">
        <v>191</v>
      </c>
      <c r="B83" s="2" t="s">
        <v>22</v>
      </c>
      <c r="C83" s="2" t="s">
        <v>22</v>
      </c>
      <c r="D83" s="2" t="s">
        <v>27</v>
      </c>
      <c r="E83" s="2" t="s">
        <v>190</v>
      </c>
      <c r="F83" s="2"/>
      <c r="G83" s="2" t="s">
        <v>148</v>
      </c>
      <c r="H83" s="2" t="s">
        <v>192</v>
      </c>
      <c r="I83" s="2"/>
      <c r="J83" s="6" t="n">
        <v>2025.85</v>
      </c>
      <c r="L83" s="2" t="s">
        <v>458</v>
      </c>
      <c r="M83" s="7" t="n">
        <v>-0.265</v>
      </c>
      <c r="N83" s="2" t="s">
        <v>459</v>
      </c>
      <c r="O83" s="2" t="s">
        <v>351</v>
      </c>
    </row>
    <row r="84" customFormat="false" ht="15" hidden="false" customHeight="false" outlineLevel="0" collapsed="false">
      <c r="A84" s="2" t="s">
        <v>253</v>
      </c>
      <c r="B84" s="2" t="s">
        <v>22</v>
      </c>
      <c r="C84" s="2" t="s">
        <v>22</v>
      </c>
      <c r="D84" s="2" t="s">
        <v>27</v>
      </c>
      <c r="E84" s="2" t="s">
        <v>252</v>
      </c>
      <c r="F84" s="2" t="s">
        <v>130</v>
      </c>
      <c r="G84" s="2" t="s">
        <v>70</v>
      </c>
      <c r="H84" s="2" t="s">
        <v>246</v>
      </c>
      <c r="I84" s="2"/>
      <c r="J84" s="6" t="n">
        <v>1680</v>
      </c>
      <c r="K84" s="6" t="n">
        <v>16880</v>
      </c>
      <c r="L84" s="2" t="s">
        <v>458</v>
      </c>
      <c r="M84" s="7" t="n">
        <v>-0.0441667</v>
      </c>
      <c r="N84" s="2" t="s">
        <v>459</v>
      </c>
      <c r="O84" s="2" t="s">
        <v>351</v>
      </c>
    </row>
    <row r="85" customFormat="false" ht="15" hidden="false" customHeight="false" outlineLevel="0" collapsed="false">
      <c r="A85" s="2" t="s">
        <v>238</v>
      </c>
      <c r="B85" s="2" t="s">
        <v>22</v>
      </c>
      <c r="C85" s="2" t="s">
        <v>22</v>
      </c>
      <c r="D85" s="2" t="s">
        <v>27</v>
      </c>
      <c r="E85" s="2" t="s">
        <v>237</v>
      </c>
      <c r="F85" s="2"/>
      <c r="G85" s="2" t="s">
        <v>89</v>
      </c>
      <c r="H85" s="2" t="s">
        <v>236</v>
      </c>
      <c r="I85" s="2"/>
      <c r="J85" s="6" t="n">
        <v>75</v>
      </c>
      <c r="K85" s="6" t="n">
        <v>100.175</v>
      </c>
      <c r="L85" s="2" t="s">
        <v>458</v>
      </c>
      <c r="M85" s="7" t="n">
        <v>0.101</v>
      </c>
      <c r="N85" s="2" t="s">
        <v>459</v>
      </c>
      <c r="O85" s="2" t="s">
        <v>351</v>
      </c>
    </row>
    <row r="86" customFormat="false" ht="15" hidden="false" customHeight="false" outlineLevel="0" collapsed="false">
      <c r="A86" s="2" t="s">
        <v>336</v>
      </c>
      <c r="B86" s="2" t="s">
        <v>22</v>
      </c>
      <c r="C86" s="2" t="s">
        <v>22</v>
      </c>
      <c r="D86" s="2" t="s">
        <v>27</v>
      </c>
      <c r="E86" s="2" t="s">
        <v>335</v>
      </c>
      <c r="F86" s="2"/>
      <c r="G86" s="2" t="s">
        <v>89</v>
      </c>
      <c r="H86" s="2" t="s">
        <v>337</v>
      </c>
      <c r="I86" s="2"/>
      <c r="J86" s="6" t="n">
        <v>75</v>
      </c>
      <c r="K86" s="6" t="n">
        <v>94.2608</v>
      </c>
      <c r="L86" s="2" t="s">
        <v>458</v>
      </c>
      <c r="M86" s="7" t="n">
        <v>0.036</v>
      </c>
      <c r="N86" s="2" t="s">
        <v>459</v>
      </c>
      <c r="O86" s="2" t="s">
        <v>351</v>
      </c>
    </row>
    <row r="87" customFormat="false" ht="15" hidden="false" customHeight="false" outlineLevel="0" collapsed="false">
      <c r="A87" s="2" t="s">
        <v>205</v>
      </c>
      <c r="B87" s="2" t="s">
        <v>22</v>
      </c>
      <c r="C87" s="2" t="s">
        <v>22</v>
      </c>
      <c r="D87" s="2" t="s">
        <v>27</v>
      </c>
      <c r="E87" s="2" t="s">
        <v>204</v>
      </c>
      <c r="F87" s="2" t="s">
        <v>198</v>
      </c>
      <c r="G87" s="2" t="s">
        <v>70</v>
      </c>
      <c r="H87" s="2" t="s">
        <v>206</v>
      </c>
      <c r="I87" s="2"/>
      <c r="J87" s="6" t="n">
        <v>63.33327</v>
      </c>
      <c r="K87" s="6" t="n">
        <v>223.758</v>
      </c>
      <c r="L87" s="2" t="s">
        <v>458</v>
      </c>
      <c r="M87" s="7" t="n">
        <v>-0.408421</v>
      </c>
      <c r="N87" s="2" t="s">
        <v>459</v>
      </c>
      <c r="O87" s="2" t="s">
        <v>351</v>
      </c>
    </row>
    <row r="88" customFormat="false" ht="15" hidden="false" customHeight="false" outlineLevel="0" collapsed="false">
      <c r="A88" s="2" t="s">
        <v>135</v>
      </c>
      <c r="B88" s="2" t="s">
        <v>22</v>
      </c>
      <c r="C88" s="2" t="s">
        <v>22</v>
      </c>
      <c r="D88" s="2" t="s">
        <v>27</v>
      </c>
      <c r="E88" s="2" t="s">
        <v>134</v>
      </c>
      <c r="F88" s="2" t="s">
        <v>130</v>
      </c>
      <c r="G88" s="2" t="s">
        <v>70</v>
      </c>
      <c r="H88" s="2" t="s">
        <v>133</v>
      </c>
      <c r="I88" s="2"/>
      <c r="J88" s="6" t="n">
        <v>24</v>
      </c>
      <c r="K88" s="6" t="n">
        <v>93.7767</v>
      </c>
      <c r="L88" s="2" t="s">
        <v>458</v>
      </c>
      <c r="M88" s="7" t="n">
        <v>-0.178333</v>
      </c>
      <c r="N88" s="2" t="s">
        <v>459</v>
      </c>
      <c r="O88" s="2" t="s">
        <v>351</v>
      </c>
    </row>
    <row r="89" customFormat="false" ht="15" hidden="false" customHeight="false" outlineLevel="0" collapsed="false">
      <c r="A89" s="2" t="s">
        <v>146</v>
      </c>
      <c r="B89" s="2" t="s">
        <v>22</v>
      </c>
      <c r="C89" s="2" t="s">
        <v>22</v>
      </c>
      <c r="D89" s="2" t="s">
        <v>27</v>
      </c>
      <c r="E89" s="2" t="s">
        <v>145</v>
      </c>
      <c r="F89" s="2"/>
      <c r="G89" s="2" t="s">
        <v>148</v>
      </c>
      <c r="H89" s="2" t="s">
        <v>147</v>
      </c>
      <c r="I89" s="2"/>
      <c r="J89" s="6" t="n">
        <v>315.39</v>
      </c>
      <c r="L89" s="2" t="s">
        <v>458</v>
      </c>
      <c r="N89" s="2" t="s">
        <v>459</v>
      </c>
      <c r="O89" s="2" t="s">
        <v>351</v>
      </c>
    </row>
    <row r="90" customFormat="false" ht="15" hidden="false" customHeight="false" outlineLevel="0" collapsed="false">
      <c r="A90" s="2" t="s">
        <v>333</v>
      </c>
      <c r="B90" s="2" t="s">
        <v>22</v>
      </c>
      <c r="C90" s="2" t="s">
        <v>22</v>
      </c>
      <c r="D90" s="2" t="s">
        <v>27</v>
      </c>
      <c r="E90" s="2" t="s">
        <v>332</v>
      </c>
      <c r="F90" s="2"/>
      <c r="G90" s="2" t="s">
        <v>89</v>
      </c>
      <c r="H90" s="2" t="s">
        <v>334</v>
      </c>
      <c r="I90" s="2"/>
      <c r="J90" s="6" t="n">
        <v>200</v>
      </c>
      <c r="K90" s="6" t="n">
        <v>286.062</v>
      </c>
      <c r="L90" s="2" t="s">
        <v>458</v>
      </c>
      <c r="M90" s="7" t="n">
        <v>-0.00500002</v>
      </c>
      <c r="N90" s="2" t="s">
        <v>459</v>
      </c>
      <c r="O90" s="2" t="s">
        <v>351</v>
      </c>
    </row>
    <row r="91" customFormat="false" ht="15" hidden="false" customHeight="false" outlineLevel="0" collapsed="false">
      <c r="A91" s="2" t="s">
        <v>197</v>
      </c>
      <c r="B91" s="2" t="s">
        <v>22</v>
      </c>
      <c r="C91" s="2" t="s">
        <v>22</v>
      </c>
      <c r="D91" s="2" t="s">
        <v>27</v>
      </c>
      <c r="E91" s="2" t="s">
        <v>196</v>
      </c>
      <c r="F91" s="2" t="s">
        <v>198</v>
      </c>
      <c r="G91" s="2" t="s">
        <v>70</v>
      </c>
      <c r="H91" s="2" t="s">
        <v>195</v>
      </c>
      <c r="I91" s="2"/>
      <c r="J91" s="6" t="n">
        <v>59.8</v>
      </c>
      <c r="K91" s="6" t="n">
        <v>181.896</v>
      </c>
      <c r="L91" s="2" t="s">
        <v>458</v>
      </c>
      <c r="M91" s="7" t="n">
        <v>-0.464348</v>
      </c>
      <c r="N91" s="2" t="s">
        <v>459</v>
      </c>
      <c r="O91" s="2" t="s">
        <v>351</v>
      </c>
    </row>
    <row r="92" customFormat="false" ht="15" hidden="false" customHeight="false" outlineLevel="0" collapsed="false">
      <c r="A92" s="2" t="s">
        <v>114</v>
      </c>
      <c r="B92" s="2" t="s">
        <v>22</v>
      </c>
      <c r="C92" s="2" t="s">
        <v>22</v>
      </c>
      <c r="D92" s="2" t="s">
        <v>27</v>
      </c>
      <c r="E92" s="2" t="s">
        <v>113</v>
      </c>
      <c r="F92" s="2" t="s">
        <v>75</v>
      </c>
      <c r="G92" s="2" t="s">
        <v>70</v>
      </c>
      <c r="H92" s="2" t="s">
        <v>112</v>
      </c>
      <c r="I92" s="2"/>
      <c r="J92" s="6" t="n">
        <v>150</v>
      </c>
      <c r="K92" s="6" t="n">
        <v>669.336</v>
      </c>
      <c r="L92" s="2" t="s">
        <v>458</v>
      </c>
      <c r="M92" s="7" t="n">
        <v>0.25125</v>
      </c>
      <c r="N92" s="2" t="s">
        <v>459</v>
      </c>
      <c r="O92" s="2" t="s">
        <v>351</v>
      </c>
    </row>
    <row r="93" customFormat="false" ht="15" hidden="false" customHeight="false" outlineLevel="0" collapsed="false">
      <c r="A93" s="2" t="s">
        <v>128</v>
      </c>
      <c r="B93" s="2" t="s">
        <v>22</v>
      </c>
      <c r="C93" s="2" t="s">
        <v>22</v>
      </c>
      <c r="D93" s="2" t="s">
        <v>27</v>
      </c>
      <c r="E93" s="2" t="s">
        <v>127</v>
      </c>
      <c r="F93" s="2" t="s">
        <v>130</v>
      </c>
      <c r="G93" s="2" t="s">
        <v>70</v>
      </c>
      <c r="H93" s="2" t="s">
        <v>129</v>
      </c>
      <c r="I93" s="2"/>
      <c r="J93" s="6" t="n">
        <v>125.0001</v>
      </c>
      <c r="K93" s="6" t="n">
        <v>2207.15</v>
      </c>
      <c r="L93" s="2" t="s">
        <v>458</v>
      </c>
      <c r="M93" s="7" t="n">
        <v>1.078</v>
      </c>
      <c r="N93" s="2" t="s">
        <v>459</v>
      </c>
      <c r="O93" s="2" t="s">
        <v>351</v>
      </c>
    </row>
    <row r="94" customFormat="false" ht="15" hidden="false" customHeight="false" outlineLevel="0" collapsed="false">
      <c r="A94" s="2" t="s">
        <v>304</v>
      </c>
      <c r="B94" s="2" t="s">
        <v>22</v>
      </c>
      <c r="C94" s="2" t="s">
        <v>22</v>
      </c>
      <c r="D94" s="2" t="s">
        <v>27</v>
      </c>
      <c r="E94" s="2" t="s">
        <v>303</v>
      </c>
      <c r="F94" s="2" t="s">
        <v>198</v>
      </c>
      <c r="G94" s="2" t="s">
        <v>70</v>
      </c>
      <c r="H94" s="2" t="s">
        <v>305</v>
      </c>
      <c r="I94" s="2"/>
      <c r="J94" s="6" t="n">
        <v>213</v>
      </c>
      <c r="K94" s="6" t="n">
        <v>1851.27</v>
      </c>
      <c r="L94" s="2" t="s">
        <v>458</v>
      </c>
      <c r="M94" s="7" t="n">
        <v>0.0358334</v>
      </c>
      <c r="N94" s="2" t="s">
        <v>459</v>
      </c>
      <c r="O94" s="2" t="s">
        <v>351</v>
      </c>
    </row>
    <row r="95" customFormat="false" ht="15" hidden="false" customHeight="false" outlineLevel="0" collapsed="false">
      <c r="A95" s="2" t="s">
        <v>279</v>
      </c>
      <c r="B95" s="2" t="s">
        <v>22</v>
      </c>
      <c r="C95" s="2" t="s">
        <v>22</v>
      </c>
      <c r="D95" s="2" t="s">
        <v>27</v>
      </c>
      <c r="E95" s="2" t="s">
        <v>278</v>
      </c>
      <c r="F95" s="2" t="s">
        <v>251</v>
      </c>
      <c r="G95" s="2" t="s">
        <v>70</v>
      </c>
      <c r="H95" s="2" t="s">
        <v>280</v>
      </c>
      <c r="I95" s="2"/>
      <c r="J95" s="6" t="n">
        <v>75000.06</v>
      </c>
      <c r="K95" s="6" t="n">
        <v>1577130</v>
      </c>
      <c r="L95" s="2" t="s">
        <v>458</v>
      </c>
      <c r="M95" s="7" t="n">
        <v>-0.112222</v>
      </c>
      <c r="N95" s="2" t="s">
        <v>459</v>
      </c>
      <c r="O95" s="2" t="s">
        <v>351</v>
      </c>
    </row>
    <row r="96" customFormat="false" ht="15" hidden="false" customHeight="false" outlineLevel="0" collapsed="false">
      <c r="A96" s="2" t="s">
        <v>200</v>
      </c>
      <c r="B96" s="2" t="s">
        <v>22</v>
      </c>
      <c r="C96" s="2" t="s">
        <v>22</v>
      </c>
      <c r="D96" s="2" t="s">
        <v>27</v>
      </c>
      <c r="E96" s="2" t="s">
        <v>199</v>
      </c>
      <c r="F96" s="2" t="s">
        <v>75</v>
      </c>
      <c r="G96" s="2" t="s">
        <v>70</v>
      </c>
      <c r="H96" s="2" t="s">
        <v>201</v>
      </c>
      <c r="I96" s="2"/>
      <c r="J96" s="6" t="n">
        <v>262.8</v>
      </c>
      <c r="K96" s="6" t="n">
        <v>1100.05</v>
      </c>
      <c r="L96" s="2" t="s">
        <v>458</v>
      </c>
      <c r="M96" s="7" t="n">
        <v>0.141667</v>
      </c>
      <c r="N96" s="2" t="s">
        <v>459</v>
      </c>
      <c r="O96" s="2" t="s">
        <v>351</v>
      </c>
    </row>
    <row r="97" customFormat="false" ht="15" hidden="false" customHeight="false" outlineLevel="0" collapsed="false">
      <c r="A97" s="2" t="s">
        <v>255</v>
      </c>
      <c r="B97" s="2" t="s">
        <v>22</v>
      </c>
      <c r="C97" s="2" t="s">
        <v>22</v>
      </c>
      <c r="D97" s="2" t="s">
        <v>27</v>
      </c>
      <c r="E97" s="2" t="s">
        <v>254</v>
      </c>
      <c r="F97" s="2" t="s">
        <v>198</v>
      </c>
      <c r="G97" s="2" t="s">
        <v>70</v>
      </c>
      <c r="H97" s="2" t="s">
        <v>246</v>
      </c>
      <c r="I97" s="2"/>
      <c r="J97" s="6" t="n">
        <v>270</v>
      </c>
      <c r="K97" s="6" t="n">
        <v>1900.07</v>
      </c>
      <c r="L97" s="2" t="s">
        <v>458</v>
      </c>
      <c r="M97" s="7" t="n">
        <v>-0.0207407</v>
      </c>
      <c r="N97" s="2" t="s">
        <v>459</v>
      </c>
      <c r="O97" s="2" t="s">
        <v>351</v>
      </c>
    </row>
    <row r="98" customFormat="false" ht="15" hidden="false" customHeight="false" outlineLevel="0" collapsed="false">
      <c r="A98" s="2" t="s">
        <v>345</v>
      </c>
      <c r="B98" s="2" t="s">
        <v>22</v>
      </c>
      <c r="C98" s="2" t="s">
        <v>22</v>
      </c>
      <c r="D98" s="2" t="s">
        <v>27</v>
      </c>
      <c r="E98" s="2" t="s">
        <v>344</v>
      </c>
      <c r="F98" s="2"/>
      <c r="G98" s="2" t="s">
        <v>70</v>
      </c>
      <c r="H98" s="2" t="s">
        <v>343</v>
      </c>
      <c r="I98" s="2"/>
      <c r="J98" s="6" t="n">
        <v>150</v>
      </c>
      <c r="K98" s="6" t="n">
        <v>1449.28</v>
      </c>
      <c r="L98" s="2" t="s">
        <v>458</v>
      </c>
      <c r="M98" s="7" t="n">
        <v>-0.398667</v>
      </c>
      <c r="N98" s="2" t="s">
        <v>459</v>
      </c>
      <c r="O98" s="2" t="s">
        <v>351</v>
      </c>
    </row>
    <row r="99" customFormat="false" ht="15" hidden="false" customHeight="false" outlineLevel="0" collapsed="false">
      <c r="A99" s="2" t="s">
        <v>155</v>
      </c>
      <c r="B99" s="2" t="s">
        <v>22</v>
      </c>
      <c r="C99" s="2" t="s">
        <v>22</v>
      </c>
      <c r="D99" s="2" t="s">
        <v>27</v>
      </c>
      <c r="E99" s="2" t="s">
        <v>154</v>
      </c>
      <c r="F99" s="2" t="s">
        <v>79</v>
      </c>
      <c r="G99" s="2" t="s">
        <v>70</v>
      </c>
      <c r="H99" s="2" t="s">
        <v>156</v>
      </c>
      <c r="I99" s="2"/>
      <c r="J99" s="6" t="n">
        <v>15</v>
      </c>
      <c r="K99" s="6" t="n">
        <v>438.097</v>
      </c>
      <c r="L99" s="2" t="s">
        <v>458</v>
      </c>
      <c r="M99" s="7" t="n">
        <v>6.816</v>
      </c>
      <c r="N99" s="2" t="s">
        <v>459</v>
      </c>
      <c r="O99" s="2" t="s">
        <v>351</v>
      </c>
    </row>
    <row r="100" customFormat="false" ht="15" hidden="false" customHeight="false" outlineLevel="0" collapsed="false">
      <c r="A100" s="2" t="s">
        <v>162</v>
      </c>
      <c r="B100" s="2" t="s">
        <v>22</v>
      </c>
      <c r="C100" s="2" t="s">
        <v>22</v>
      </c>
      <c r="D100" s="2" t="s">
        <v>27</v>
      </c>
      <c r="E100" s="2" t="s">
        <v>161</v>
      </c>
      <c r="F100" s="2"/>
      <c r="G100" s="2" t="s">
        <v>89</v>
      </c>
      <c r="H100" s="2" t="s">
        <v>163</v>
      </c>
      <c r="I100" s="2"/>
      <c r="J100" s="6" t="n">
        <v>23.1438</v>
      </c>
      <c r="K100" s="6" t="n">
        <v>28.2459</v>
      </c>
      <c r="L100" s="2" t="s">
        <v>458</v>
      </c>
      <c r="M100" s="7" t="n">
        <v>0.21</v>
      </c>
      <c r="N100" s="2" t="s">
        <v>459</v>
      </c>
      <c r="O100" s="2" t="s">
        <v>351</v>
      </c>
    </row>
    <row r="101" customFormat="false" ht="15" hidden="false" customHeight="false" outlineLevel="0" collapsed="false">
      <c r="A101" s="2" t="s">
        <v>229</v>
      </c>
      <c r="B101" s="2" t="s">
        <v>22</v>
      </c>
      <c r="C101" s="2" t="s">
        <v>22</v>
      </c>
      <c r="D101" s="2" t="s">
        <v>27</v>
      </c>
      <c r="E101" s="2" t="s">
        <v>228</v>
      </c>
      <c r="F101" s="2" t="s">
        <v>130</v>
      </c>
      <c r="G101" s="2" t="s">
        <v>70</v>
      </c>
      <c r="H101" s="2" t="s">
        <v>230</v>
      </c>
      <c r="I101" s="2"/>
      <c r="J101" s="6" t="n">
        <v>15</v>
      </c>
      <c r="K101" s="6" t="n">
        <v>33.1033</v>
      </c>
      <c r="L101" s="2" t="s">
        <v>458</v>
      </c>
      <c r="M101" s="7" t="n">
        <v>-0.4325</v>
      </c>
      <c r="N101" s="2" t="s">
        <v>459</v>
      </c>
      <c r="O101" s="2" t="s">
        <v>351</v>
      </c>
    </row>
    <row r="102" customFormat="false" ht="15" hidden="false" customHeight="false" outlineLevel="0" collapsed="false">
      <c r="A102" s="2" t="s">
        <v>265</v>
      </c>
      <c r="B102" s="2" t="s">
        <v>22</v>
      </c>
      <c r="C102" s="2" t="s">
        <v>22</v>
      </c>
      <c r="D102" s="2" t="s">
        <v>27</v>
      </c>
      <c r="E102" s="2" t="s">
        <v>264</v>
      </c>
      <c r="F102" s="2" t="s">
        <v>118</v>
      </c>
      <c r="G102" s="2" t="s">
        <v>70</v>
      </c>
      <c r="H102" s="2" t="s">
        <v>261</v>
      </c>
      <c r="I102" s="2"/>
      <c r="J102" s="6" t="n">
        <v>200.2</v>
      </c>
      <c r="K102" s="6" t="n">
        <v>688.724</v>
      </c>
      <c r="L102" s="2" t="s">
        <v>458</v>
      </c>
      <c r="M102" s="7" t="n">
        <v>-0.00961538</v>
      </c>
      <c r="N102" s="2" t="s">
        <v>459</v>
      </c>
      <c r="O102" s="2" t="s">
        <v>351</v>
      </c>
    </row>
    <row r="103" customFormat="false" ht="15" hidden="false" customHeight="false" outlineLevel="0" collapsed="false">
      <c r="A103" s="2" t="s">
        <v>285</v>
      </c>
      <c r="B103" s="2" t="s">
        <v>22</v>
      </c>
      <c r="C103" s="2" t="s">
        <v>22</v>
      </c>
      <c r="D103" s="2" t="s">
        <v>27</v>
      </c>
      <c r="E103" s="2" t="s">
        <v>284</v>
      </c>
      <c r="F103" s="2"/>
      <c r="G103" s="2" t="s">
        <v>89</v>
      </c>
      <c r="H103" s="2" t="s">
        <v>286</v>
      </c>
      <c r="I103" s="2"/>
      <c r="J103" s="6" t="n">
        <v>200</v>
      </c>
      <c r="K103" s="6" t="n">
        <v>286.712</v>
      </c>
      <c r="L103" s="2" t="s">
        <v>458</v>
      </c>
      <c r="M103" s="7" t="n">
        <v>-0.00274</v>
      </c>
      <c r="N103" s="2" t="s">
        <v>459</v>
      </c>
      <c r="O103" s="2" t="s">
        <v>351</v>
      </c>
    </row>
    <row r="104" customFormat="false" ht="15" hidden="false" customHeight="false" outlineLevel="0" collapsed="false">
      <c r="A104" s="2" t="s">
        <v>188</v>
      </c>
      <c r="B104" s="2" t="s">
        <v>22</v>
      </c>
      <c r="C104" s="2" t="s">
        <v>22</v>
      </c>
      <c r="D104" s="2" t="s">
        <v>27</v>
      </c>
      <c r="E104" s="2" t="s">
        <v>187</v>
      </c>
      <c r="F104" s="2" t="s">
        <v>79</v>
      </c>
      <c r="G104" s="2" t="s">
        <v>70</v>
      </c>
      <c r="H104" s="2" t="s">
        <v>189</v>
      </c>
      <c r="I104" s="2"/>
      <c r="J104" s="6" t="n">
        <v>1017.8581</v>
      </c>
      <c r="K104" s="6" t="n">
        <v>6363.69</v>
      </c>
      <c r="L104" s="2" t="s">
        <v>458</v>
      </c>
      <c r="M104" s="7" t="n">
        <v>-0.31913</v>
      </c>
      <c r="N104" s="2" t="s">
        <v>459</v>
      </c>
      <c r="O104" s="2" t="s">
        <v>351</v>
      </c>
    </row>
    <row r="105" customFormat="false" ht="15" hidden="false" customHeight="false" outlineLevel="0" collapsed="false">
      <c r="A105" s="2" t="s">
        <v>96</v>
      </c>
      <c r="B105" s="2" t="s">
        <v>22</v>
      </c>
      <c r="C105" s="2" t="s">
        <v>22</v>
      </c>
      <c r="D105" s="2" t="s">
        <v>27</v>
      </c>
      <c r="E105" s="2" t="s">
        <v>95</v>
      </c>
      <c r="F105" s="2" t="s">
        <v>79</v>
      </c>
      <c r="G105" s="2" t="s">
        <v>70</v>
      </c>
      <c r="H105" s="2" t="s">
        <v>92</v>
      </c>
      <c r="I105" s="2"/>
      <c r="J105" s="6" t="n">
        <v>629</v>
      </c>
      <c r="K105" s="6" t="n">
        <v>2288.95</v>
      </c>
      <c r="L105" s="2" t="s">
        <v>458</v>
      </c>
      <c r="M105" s="7" t="n">
        <v>-0.487647</v>
      </c>
      <c r="N105" s="2" t="s">
        <v>459</v>
      </c>
      <c r="O105" s="2" t="s">
        <v>351</v>
      </c>
    </row>
    <row r="106" customFormat="false" ht="15" hidden="false" customHeight="false" outlineLevel="0" collapsed="false">
      <c r="A106" s="2" t="s">
        <v>182</v>
      </c>
      <c r="B106" s="2" t="s">
        <v>22</v>
      </c>
      <c r="C106" s="2" t="s">
        <v>22</v>
      </c>
      <c r="D106" s="2" t="s">
        <v>27</v>
      </c>
      <c r="E106" s="2" t="s">
        <v>181</v>
      </c>
      <c r="F106" s="2" t="s">
        <v>71</v>
      </c>
      <c r="G106" s="2" t="s">
        <v>70</v>
      </c>
      <c r="H106" s="2" t="s">
        <v>183</v>
      </c>
      <c r="I106" s="2"/>
      <c r="J106" s="6" t="n">
        <v>280</v>
      </c>
      <c r="K106" s="6" t="n">
        <v>1273.37</v>
      </c>
      <c r="L106" s="2" t="s">
        <v>458</v>
      </c>
      <c r="M106" s="7" t="n">
        <v>0.00749998</v>
      </c>
      <c r="N106" s="2" t="s">
        <v>459</v>
      </c>
      <c r="O106" s="2" t="s">
        <v>351</v>
      </c>
    </row>
    <row r="107" customFormat="false" ht="15" hidden="false" customHeight="false" outlineLevel="0" collapsed="false">
      <c r="A107" s="2" t="s">
        <v>393</v>
      </c>
      <c r="B107" s="2" t="s">
        <v>7</v>
      </c>
      <c r="C107" s="2" t="s">
        <v>16</v>
      </c>
      <c r="D107" s="2" t="s">
        <v>31</v>
      </c>
      <c r="E107" s="2"/>
      <c r="F107" s="2" t="s">
        <v>130</v>
      </c>
      <c r="G107" s="2" t="s">
        <v>70</v>
      </c>
      <c r="H107" s="2" t="s">
        <v>396</v>
      </c>
      <c r="I107" s="2" t="s">
        <v>394</v>
      </c>
      <c r="K107" s="6" t="n">
        <v>965000</v>
      </c>
      <c r="L107" s="2" t="s">
        <v>395</v>
      </c>
      <c r="N107" s="2" t="s">
        <v>397</v>
      </c>
      <c r="O107" s="2" t="s">
        <v>351</v>
      </c>
    </row>
    <row r="108" customFormat="false" ht="15" hidden="false" customHeight="false" outlineLevel="0" collapsed="false">
      <c r="A108" s="2" t="s">
        <v>399</v>
      </c>
      <c r="B108" s="2" t="s">
        <v>7</v>
      </c>
      <c r="C108" s="2" t="s">
        <v>16</v>
      </c>
      <c r="D108" s="2" t="s">
        <v>31</v>
      </c>
      <c r="E108" s="2"/>
      <c r="F108" s="2" t="s">
        <v>130</v>
      </c>
      <c r="G108" s="2" t="s">
        <v>70</v>
      </c>
      <c r="H108" s="2" t="s">
        <v>402</v>
      </c>
      <c r="I108" s="2" t="s">
        <v>400</v>
      </c>
      <c r="K108" s="6" t="n">
        <v>852000</v>
      </c>
      <c r="L108" s="2" t="s">
        <v>401</v>
      </c>
      <c r="N108" s="2" t="s">
        <v>403</v>
      </c>
      <c r="O108" s="2" t="s">
        <v>351</v>
      </c>
    </row>
    <row r="109" customFormat="false" ht="15" hidden="false" customHeight="false" outlineLevel="0" collapsed="false">
      <c r="A109" s="2" t="s">
        <v>405</v>
      </c>
      <c r="B109" s="2" t="s">
        <v>7</v>
      </c>
      <c r="C109" s="2" t="s">
        <v>16</v>
      </c>
      <c r="D109" s="2" t="s">
        <v>31</v>
      </c>
      <c r="E109" s="2"/>
      <c r="F109" s="2" t="s">
        <v>83</v>
      </c>
      <c r="G109" s="2" t="s">
        <v>70</v>
      </c>
      <c r="H109" s="2" t="s">
        <v>408</v>
      </c>
      <c r="I109" s="2" t="s">
        <v>406</v>
      </c>
      <c r="K109" s="6" t="n">
        <v>20000</v>
      </c>
      <c r="L109" s="2" t="s">
        <v>407</v>
      </c>
      <c r="N109" s="2" t="s">
        <v>409</v>
      </c>
      <c r="O109" s="2" t="s">
        <v>351</v>
      </c>
    </row>
    <row r="110" customFormat="false" ht="15" hidden="false" customHeight="false" outlineLevel="0" collapsed="false">
      <c r="A110" s="2" t="s">
        <v>411</v>
      </c>
      <c r="B110" s="2" t="s">
        <v>7</v>
      </c>
      <c r="C110" s="2" t="s">
        <v>16</v>
      </c>
      <c r="D110" s="2" t="s">
        <v>31</v>
      </c>
      <c r="E110" s="2"/>
      <c r="F110" s="2" t="s">
        <v>251</v>
      </c>
      <c r="G110" s="2" t="s">
        <v>70</v>
      </c>
      <c r="H110" s="2" t="s">
        <v>414</v>
      </c>
      <c r="I110" s="2" t="s">
        <v>412</v>
      </c>
      <c r="K110" s="6" t="n">
        <v>15000</v>
      </c>
      <c r="L110" s="2" t="s">
        <v>413</v>
      </c>
      <c r="N110" s="2" t="s">
        <v>376</v>
      </c>
      <c r="O110" s="2" t="s">
        <v>351</v>
      </c>
    </row>
    <row r="111" customFormat="false" ht="15" hidden="false" customHeight="false" outlineLevel="0" collapsed="false">
      <c r="A111" s="2" t="s">
        <v>416</v>
      </c>
      <c r="B111" s="2" t="s">
        <v>7</v>
      </c>
      <c r="C111" s="2" t="s">
        <v>16</v>
      </c>
      <c r="D111" s="2" t="s">
        <v>31</v>
      </c>
      <c r="E111" s="2"/>
      <c r="F111" s="2" t="s">
        <v>130</v>
      </c>
      <c r="G111" s="2" t="s">
        <v>70</v>
      </c>
      <c r="H111" s="2" t="s">
        <v>418</v>
      </c>
      <c r="I111" s="2" t="s">
        <v>373</v>
      </c>
      <c r="K111" s="6" t="n">
        <v>11000</v>
      </c>
      <c r="L111" s="2" t="s">
        <v>417</v>
      </c>
      <c r="N111" s="2" t="s">
        <v>376</v>
      </c>
      <c r="O111" s="2" t="s">
        <v>351</v>
      </c>
    </row>
    <row r="112" customFormat="false" ht="15" hidden="false" customHeight="false" outlineLevel="0" collapsed="false">
      <c r="A112" s="2" t="s">
        <v>420</v>
      </c>
      <c r="B112" s="2" t="s">
        <v>7</v>
      </c>
      <c r="C112" s="2" t="s">
        <v>16</v>
      </c>
      <c r="D112" s="2" t="s">
        <v>31</v>
      </c>
      <c r="E112" s="2"/>
      <c r="F112" s="2" t="s">
        <v>83</v>
      </c>
      <c r="G112" s="2" t="s">
        <v>70</v>
      </c>
      <c r="H112" s="2" t="s">
        <v>418</v>
      </c>
      <c r="I112" s="2" t="s">
        <v>373</v>
      </c>
      <c r="K112" s="6" t="n">
        <v>6900</v>
      </c>
      <c r="L112" s="2" t="s">
        <v>417</v>
      </c>
      <c r="N112" s="2" t="s">
        <v>376</v>
      </c>
      <c r="O112" s="2" t="s">
        <v>351</v>
      </c>
    </row>
    <row r="113" customFormat="false" ht="15" hidden="false" customHeight="false" outlineLevel="0" collapsed="false">
      <c r="A113" s="2" t="s">
        <v>421</v>
      </c>
      <c r="B113" s="2" t="s">
        <v>7</v>
      </c>
      <c r="C113" s="2" t="s">
        <v>16</v>
      </c>
      <c r="D113" s="2" t="s">
        <v>31</v>
      </c>
      <c r="E113" s="2"/>
      <c r="F113" s="2" t="s">
        <v>109</v>
      </c>
      <c r="G113" s="2" t="s">
        <v>70</v>
      </c>
      <c r="H113" s="2" t="s">
        <v>69</v>
      </c>
      <c r="I113" s="2" t="s">
        <v>373</v>
      </c>
      <c r="K113" s="6" t="n">
        <v>2200</v>
      </c>
      <c r="L113" s="2" t="s">
        <v>422</v>
      </c>
      <c r="N113" s="2" t="s">
        <v>376</v>
      </c>
      <c r="O113" s="2" t="s">
        <v>351</v>
      </c>
    </row>
    <row r="114" customFormat="false" ht="15" hidden="false" customHeight="false" outlineLevel="0" collapsed="false">
      <c r="A114" s="2" t="s">
        <v>370</v>
      </c>
      <c r="B114" s="2" t="s">
        <v>7</v>
      </c>
      <c r="C114" s="2" t="s">
        <v>18</v>
      </c>
      <c r="D114" s="2" t="s">
        <v>29</v>
      </c>
      <c r="E114" s="2" t="s">
        <v>372</v>
      </c>
      <c r="F114" s="2" t="s">
        <v>79</v>
      </c>
      <c r="G114" s="2" t="s">
        <v>70</v>
      </c>
      <c r="H114" s="2" t="s">
        <v>375</v>
      </c>
      <c r="I114" s="2" t="s">
        <v>373</v>
      </c>
      <c r="K114" s="6" t="n">
        <v>3800</v>
      </c>
      <c r="L114" s="2" t="s">
        <v>374</v>
      </c>
      <c r="N114" s="2" t="s">
        <v>376</v>
      </c>
      <c r="O114" s="2" t="s">
        <v>351</v>
      </c>
    </row>
    <row r="115" customFormat="false" ht="15" hidden="false" customHeight="false" outlineLevel="0" collapsed="false">
      <c r="A115" s="2" t="s">
        <v>378</v>
      </c>
      <c r="B115" s="2" t="s">
        <v>7</v>
      </c>
      <c r="C115" s="2" t="s">
        <v>18</v>
      </c>
      <c r="D115" s="2" t="s">
        <v>29</v>
      </c>
      <c r="E115" s="2" t="s">
        <v>380</v>
      </c>
      <c r="F115" s="2" t="s">
        <v>130</v>
      </c>
      <c r="G115" s="2" t="s">
        <v>70</v>
      </c>
      <c r="H115" s="2" t="s">
        <v>382</v>
      </c>
      <c r="I115" s="2" t="s">
        <v>373</v>
      </c>
      <c r="K115" s="6" t="n">
        <v>1400</v>
      </c>
      <c r="L115" s="2" t="s">
        <v>381</v>
      </c>
      <c r="N115" s="2" t="s">
        <v>376</v>
      </c>
      <c r="O115" s="2" t="s">
        <v>351</v>
      </c>
    </row>
    <row r="116" customFormat="false" ht="15" hidden="false" customHeight="false" outlineLevel="0" collapsed="false">
      <c r="A116" s="2" t="s">
        <v>384</v>
      </c>
      <c r="B116" s="2" t="s">
        <v>7</v>
      </c>
      <c r="C116" s="2" t="s">
        <v>18</v>
      </c>
      <c r="D116" s="2" t="s">
        <v>29</v>
      </c>
      <c r="E116" s="2"/>
      <c r="F116" s="2" t="s">
        <v>130</v>
      </c>
      <c r="G116" s="2" t="s">
        <v>70</v>
      </c>
      <c r="H116" s="2" t="s">
        <v>386</v>
      </c>
      <c r="I116" s="2" t="s">
        <v>385</v>
      </c>
      <c r="L116" s="2"/>
      <c r="N116" s="2" t="s">
        <v>387</v>
      </c>
      <c r="O116" s="2" t="s">
        <v>351</v>
      </c>
    </row>
    <row r="117" customFormat="false" ht="15" hidden="false" customHeight="false" outlineLevel="0" collapsed="false">
      <c r="A117" s="2" t="s">
        <v>389</v>
      </c>
      <c r="B117" s="2" t="s">
        <v>7</v>
      </c>
      <c r="C117" s="2" t="s">
        <v>18</v>
      </c>
      <c r="D117" s="2" t="s">
        <v>29</v>
      </c>
      <c r="E117" s="2"/>
      <c r="F117" s="2" t="s">
        <v>75</v>
      </c>
      <c r="G117" s="2" t="s">
        <v>70</v>
      </c>
      <c r="H117" s="2" t="s">
        <v>390</v>
      </c>
      <c r="I117" s="2" t="s">
        <v>385</v>
      </c>
      <c r="L117" s="2"/>
      <c r="N117" s="2" t="s">
        <v>391</v>
      </c>
      <c r="O117" s="2" t="s">
        <v>351</v>
      </c>
    </row>
    <row r="118" customFormat="false" ht="15" hidden="false" customHeight="false" outlineLevel="0" collapsed="false">
      <c r="A118" s="2" t="s">
        <v>424</v>
      </c>
      <c r="B118" s="2" t="s">
        <v>7</v>
      </c>
      <c r="C118" s="2" t="s">
        <v>14</v>
      </c>
      <c r="D118" s="2" t="s">
        <v>33</v>
      </c>
      <c r="E118" s="2"/>
      <c r="F118" s="2" t="s">
        <v>130</v>
      </c>
      <c r="G118" s="2" t="s">
        <v>70</v>
      </c>
      <c r="H118" s="2"/>
      <c r="I118" s="2" t="s">
        <v>425</v>
      </c>
      <c r="K118" s="6" t="n">
        <v>134000</v>
      </c>
      <c r="L118" s="2" t="s">
        <v>426</v>
      </c>
      <c r="N118" s="2" t="s">
        <v>427</v>
      </c>
      <c r="O118" s="2" t="s">
        <v>351</v>
      </c>
    </row>
    <row r="119" customFormat="false" ht="15" hidden="false" customHeight="false" outlineLevel="0" collapsed="false">
      <c r="A119" s="2" t="s">
        <v>429</v>
      </c>
      <c r="B119" s="2" t="s">
        <v>7</v>
      </c>
      <c r="C119" s="2" t="s">
        <v>14</v>
      </c>
      <c r="D119" s="2" t="s">
        <v>33</v>
      </c>
      <c r="E119" s="2"/>
      <c r="F119" s="2" t="s">
        <v>83</v>
      </c>
      <c r="G119" s="2" t="s">
        <v>70</v>
      </c>
      <c r="H119" s="2"/>
      <c r="I119" s="2" t="s">
        <v>430</v>
      </c>
      <c r="K119" s="6" t="n">
        <v>7070</v>
      </c>
      <c r="L119" s="2" t="s">
        <v>431</v>
      </c>
      <c r="N119" s="2" t="s">
        <v>432</v>
      </c>
      <c r="O119" s="2" t="s">
        <v>351</v>
      </c>
    </row>
    <row r="120" customFormat="false" ht="15" hidden="false" customHeight="false" outlineLevel="0" collapsed="false">
      <c r="A120" s="2" t="s">
        <v>434</v>
      </c>
      <c r="B120" s="2" t="s">
        <v>7</v>
      </c>
      <c r="C120" s="2" t="s">
        <v>14</v>
      </c>
      <c r="D120" s="2" t="s">
        <v>33</v>
      </c>
      <c r="E120" s="2"/>
      <c r="F120" s="2" t="s">
        <v>130</v>
      </c>
      <c r="G120" s="2" t="s">
        <v>70</v>
      </c>
      <c r="H120" s="2"/>
      <c r="I120" s="2" t="s">
        <v>385</v>
      </c>
      <c r="K120" s="6" t="n">
        <v>5900</v>
      </c>
      <c r="L120" s="2" t="s">
        <v>435</v>
      </c>
      <c r="N120" s="2" t="s">
        <v>436</v>
      </c>
      <c r="O120" s="2" t="s">
        <v>351</v>
      </c>
    </row>
    <row r="121" customFormat="false" ht="15" hidden="false" customHeight="false" outlineLevel="0" collapsed="false">
      <c r="A121" s="2" t="s">
        <v>438</v>
      </c>
      <c r="B121" s="2" t="s">
        <v>7</v>
      </c>
      <c r="C121" s="2" t="s">
        <v>12</v>
      </c>
      <c r="D121" s="2" t="s">
        <v>33</v>
      </c>
      <c r="E121" s="2"/>
      <c r="F121" s="2" t="s">
        <v>79</v>
      </c>
      <c r="G121" s="2" t="s">
        <v>70</v>
      </c>
      <c r="H121" s="2"/>
      <c r="I121" s="2" t="s">
        <v>373</v>
      </c>
      <c r="K121" s="6" t="n">
        <v>60000</v>
      </c>
      <c r="L121" s="2" t="s">
        <v>439</v>
      </c>
      <c r="N121" s="2" t="s">
        <v>440</v>
      </c>
      <c r="O121" s="2" t="s">
        <v>351</v>
      </c>
    </row>
    <row r="122" customFormat="false" ht="15" hidden="false" customHeight="false" outlineLevel="0" collapsed="false">
      <c r="A122" s="2" t="s">
        <v>442</v>
      </c>
      <c r="B122" s="2" t="s">
        <v>7</v>
      </c>
      <c r="C122" s="2" t="s">
        <v>12</v>
      </c>
      <c r="D122" s="2" t="s">
        <v>33</v>
      </c>
      <c r="E122" s="2"/>
      <c r="F122" s="2" t="s">
        <v>83</v>
      </c>
      <c r="G122" s="2" t="s">
        <v>70</v>
      </c>
      <c r="H122" s="2"/>
      <c r="I122" s="2" t="s">
        <v>443</v>
      </c>
      <c r="L122" s="2"/>
      <c r="N122" s="2" t="s">
        <v>444</v>
      </c>
      <c r="O122" s="2" t="s">
        <v>351</v>
      </c>
    </row>
    <row r="123" customFormat="false" ht="15" hidden="false" customHeight="false" outlineLevel="0" collapsed="false">
      <c r="A123" s="2" t="s">
        <v>446</v>
      </c>
      <c r="B123" s="2" t="s">
        <v>7</v>
      </c>
      <c r="C123" s="2" t="s">
        <v>12</v>
      </c>
      <c r="D123" s="2" t="s">
        <v>33</v>
      </c>
      <c r="E123" s="2"/>
      <c r="F123" s="2" t="s">
        <v>130</v>
      </c>
      <c r="G123" s="2" t="s">
        <v>70</v>
      </c>
      <c r="H123" s="2"/>
      <c r="I123" s="2" t="s">
        <v>443</v>
      </c>
      <c r="L123" s="2"/>
      <c r="N123" s="2" t="s">
        <v>444</v>
      </c>
      <c r="O123" s="2" t="s">
        <v>351</v>
      </c>
    </row>
    <row r="124" customFormat="false" ht="15" hidden="false" customHeight="false" outlineLevel="0" collapsed="false">
      <c r="A124" s="2" t="s">
        <v>447</v>
      </c>
      <c r="B124" s="2" t="s">
        <v>7</v>
      </c>
      <c r="C124" s="2" t="s">
        <v>12</v>
      </c>
      <c r="D124" s="2" t="s">
        <v>33</v>
      </c>
      <c r="E124" s="2"/>
      <c r="F124" s="2" t="s">
        <v>83</v>
      </c>
      <c r="G124" s="2" t="s">
        <v>70</v>
      </c>
      <c r="H124" s="2"/>
      <c r="I124" s="2" t="s">
        <v>443</v>
      </c>
      <c r="L124" s="2"/>
      <c r="N124" s="2" t="s">
        <v>448</v>
      </c>
      <c r="O124" s="2" t="s">
        <v>351</v>
      </c>
    </row>
    <row r="125" customFormat="false" ht="15" hidden="false" customHeight="false" outlineLevel="0" collapsed="false">
      <c r="A125" s="2" t="s">
        <v>450</v>
      </c>
      <c r="B125" s="2" t="s">
        <v>7</v>
      </c>
      <c r="C125" s="2" t="s">
        <v>12</v>
      </c>
      <c r="D125" s="2" t="s">
        <v>33</v>
      </c>
      <c r="E125" s="2"/>
      <c r="F125" s="2" t="s">
        <v>83</v>
      </c>
      <c r="G125" s="2" t="s">
        <v>70</v>
      </c>
      <c r="H125" s="2"/>
      <c r="I125" s="2" t="s">
        <v>443</v>
      </c>
      <c r="L125" s="2"/>
      <c r="N125" s="2" t="s">
        <v>444</v>
      </c>
      <c r="O125" s="2" t="s">
        <v>351</v>
      </c>
    </row>
    <row r="126" customFormat="false" ht="15" hidden="false" customHeight="false" outlineLevel="0" collapsed="false">
      <c r="A126" s="2" t="s">
        <v>451</v>
      </c>
      <c r="B126" s="2" t="s">
        <v>24</v>
      </c>
      <c r="C126" s="2" t="s">
        <v>24</v>
      </c>
      <c r="D126" s="2"/>
      <c r="E126" s="2"/>
      <c r="F126" s="2" t="s">
        <v>83</v>
      </c>
      <c r="G126" s="2" t="s">
        <v>70</v>
      </c>
      <c r="H126" s="2"/>
      <c r="I126" s="2"/>
      <c r="L126" s="2"/>
      <c r="N126" s="2" t="s">
        <v>376</v>
      </c>
      <c r="O126" s="2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0"/>
  </cols>
  <sheetData>
    <row r="1" customFormat="false" ht="15" hidden="false" customHeight="false" outlineLevel="0" collapsed="false">
      <c r="A1" s="3" t="s">
        <v>460</v>
      </c>
      <c r="B1" s="3" t="s">
        <v>461</v>
      </c>
      <c r="C1" s="3" t="s">
        <v>56</v>
      </c>
      <c r="D1" s="3" t="s">
        <v>462</v>
      </c>
    </row>
    <row r="2" customFormat="false" ht="15" hidden="false" customHeight="false" outlineLevel="0" collapsed="false">
      <c r="A2" s="2" t="s">
        <v>351</v>
      </c>
      <c r="B2" s="2" t="s">
        <v>463</v>
      </c>
      <c r="C2" s="2" t="s">
        <v>464</v>
      </c>
      <c r="D2" s="2" t="s">
        <v>465</v>
      </c>
    </row>
    <row r="3" customFormat="false" ht="15" hidden="false" customHeight="false" outlineLevel="0" collapsed="false">
      <c r="A3" s="2" t="s">
        <v>351</v>
      </c>
      <c r="B3" s="2" t="s">
        <v>466</v>
      </c>
      <c r="C3" s="2" t="s">
        <v>393</v>
      </c>
      <c r="D3" s="2" t="s">
        <v>467</v>
      </c>
    </row>
    <row r="4" customFormat="false" ht="15" hidden="false" customHeight="false" outlineLevel="0" collapsed="false">
      <c r="A4" s="2" t="s">
        <v>351</v>
      </c>
      <c r="B4" s="2" t="s">
        <v>466</v>
      </c>
      <c r="C4" s="2" t="s">
        <v>399</v>
      </c>
      <c r="D4" s="2" t="s">
        <v>468</v>
      </c>
    </row>
    <row r="5" customFormat="false" ht="15" hidden="false" customHeight="false" outlineLevel="0" collapsed="false">
      <c r="A5" s="2" t="s">
        <v>351</v>
      </c>
      <c r="B5" s="2" t="s">
        <v>466</v>
      </c>
      <c r="C5" s="2" t="s">
        <v>405</v>
      </c>
      <c r="D5" s="2" t="s">
        <v>469</v>
      </c>
    </row>
    <row r="6" customFormat="false" ht="15" hidden="false" customHeight="false" outlineLevel="0" collapsed="false">
      <c r="A6" s="2" t="s">
        <v>351</v>
      </c>
      <c r="B6" s="2" t="s">
        <v>470</v>
      </c>
      <c r="C6" s="2" t="s">
        <v>384</v>
      </c>
      <c r="D6" s="2" t="s">
        <v>471</v>
      </c>
    </row>
    <row r="7" customFormat="false" ht="15" hidden="false" customHeight="false" outlineLevel="0" collapsed="false">
      <c r="A7" s="2" t="s">
        <v>351</v>
      </c>
      <c r="B7" s="2" t="s">
        <v>470</v>
      </c>
      <c r="C7" s="2" t="s">
        <v>389</v>
      </c>
      <c r="D7" s="2" t="s">
        <v>472</v>
      </c>
    </row>
    <row r="8" customFormat="false" ht="15" hidden="false" customHeight="false" outlineLevel="0" collapsed="false">
      <c r="A8" s="2" t="s">
        <v>351</v>
      </c>
      <c r="B8" s="2" t="s">
        <v>473</v>
      </c>
      <c r="C8" s="2" t="s">
        <v>474</v>
      </c>
      <c r="D8" s="2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2026-07-21T13:26:45Z</dcterms:created>
  <dc:creator>openpyxl</dc:creator>
  <dc:description/>
  <dc:language>en-US</dc:language>
  <cp:lastModifiedBy/>
  <dcterms:modified xsi:type="dcterms:W3CDTF">2026-07-21T13:26:46Z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