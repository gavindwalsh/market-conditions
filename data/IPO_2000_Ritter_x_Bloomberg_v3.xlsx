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vin.AVOS-LP-GAVIN\Documents\Avos\Code\market-conditions-dashboard\data\"/>
    </mc:Choice>
  </mc:AlternateContent>
  <xr:revisionPtr revIDLastSave="0" documentId="8_{ACE336DE-817E-4FE0-9625-D4D5630FDE4C}" xr6:coauthVersionLast="47" xr6:coauthVersionMax="47" xr10:uidLastSave="{00000000-0000-0000-0000-000000000000}"/>
  <bookViews>
    <workbookView xWindow="57480" yWindow="1935" windowWidth="51840" windowHeight="21120" tabRatio="500" xr2:uid="{00000000-000D-0000-FFFF-FFFF00000000}"/>
  </bookViews>
  <sheets>
    <sheet name="README" sheetId="1" r:id="rId1"/>
    <sheet name="Master_2000" sheetId="2" r:id="rId2"/>
    <sheet name="Remaining_Gaps" sheetId="3" r:id="rId3"/>
    <sheet name="Screen_Unclaim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8" i="4" l="1"/>
  <c r="F47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6" i="4"/>
  <c r="F25" i="4"/>
  <c r="F24" i="4"/>
  <c r="F23" i="4"/>
  <c r="F22" i="4"/>
  <c r="F20" i="4"/>
  <c r="F19" i="4"/>
  <c r="F18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B436" i="2"/>
  <c r="N432" i="2"/>
  <c r="S432" i="2" s="1"/>
  <c r="S431" i="2"/>
  <c r="N431" i="2"/>
  <c r="S430" i="2"/>
  <c r="S429" i="2"/>
  <c r="N429" i="2"/>
  <c r="S428" i="2"/>
  <c r="S427" i="2"/>
  <c r="N427" i="2"/>
  <c r="N426" i="2"/>
  <c r="S426" i="2" s="1"/>
  <c r="N425" i="2"/>
  <c r="S425" i="2" s="1"/>
  <c r="S424" i="2"/>
  <c r="S423" i="2"/>
  <c r="N423" i="2"/>
  <c r="S422" i="2"/>
  <c r="S421" i="2"/>
  <c r="S420" i="2"/>
  <c r="N419" i="2"/>
  <c r="S419" i="2" s="1"/>
  <c r="N418" i="2"/>
  <c r="S418" i="2" s="1"/>
  <c r="S417" i="2"/>
  <c r="N417" i="2"/>
  <c r="N416" i="2"/>
  <c r="S416" i="2" s="1"/>
  <c r="N415" i="2"/>
  <c r="S415" i="2" s="1"/>
  <c r="S414" i="2"/>
  <c r="S413" i="2"/>
  <c r="N413" i="2"/>
  <c r="N412" i="2"/>
  <c r="S412" i="2" s="1"/>
  <c r="N411" i="2"/>
  <c r="S411" i="2" s="1"/>
  <c r="S410" i="2"/>
  <c r="N410" i="2"/>
  <c r="N409" i="2"/>
  <c r="S409" i="2" s="1"/>
  <c r="N408" i="2"/>
  <c r="S408" i="2" s="1"/>
  <c r="S407" i="2"/>
  <c r="N406" i="2"/>
  <c r="S406" i="2" s="1"/>
  <c r="N405" i="2"/>
  <c r="S405" i="2" s="1"/>
  <c r="S404" i="2"/>
  <c r="N403" i="2"/>
  <c r="S403" i="2" s="1"/>
  <c r="N402" i="2"/>
  <c r="S402" i="2" s="1"/>
  <c r="S401" i="2"/>
  <c r="N400" i="2"/>
  <c r="S400" i="2" s="1"/>
  <c r="S399" i="2"/>
  <c r="S398" i="2"/>
  <c r="N397" i="2"/>
  <c r="S397" i="2" s="1"/>
  <c r="S396" i="2"/>
  <c r="S395" i="2"/>
  <c r="N394" i="2"/>
  <c r="S394" i="2" s="1"/>
  <c r="S393" i="2"/>
  <c r="N392" i="2"/>
  <c r="S392" i="2" s="1"/>
  <c r="N391" i="2"/>
  <c r="S391" i="2" s="1"/>
  <c r="S390" i="2"/>
  <c r="N389" i="2"/>
  <c r="S389" i="2" s="1"/>
  <c r="S388" i="2"/>
  <c r="S387" i="2"/>
  <c r="N387" i="2"/>
  <c r="S386" i="2"/>
  <c r="S385" i="2"/>
  <c r="S384" i="2"/>
  <c r="N383" i="2"/>
  <c r="S383" i="2" s="1"/>
  <c r="N382" i="2"/>
  <c r="S382" i="2" s="1"/>
  <c r="S381" i="2"/>
  <c r="N381" i="2"/>
  <c r="S380" i="2"/>
  <c r="S379" i="2"/>
  <c r="N379" i="2"/>
  <c r="N378" i="2"/>
  <c r="S378" i="2" s="1"/>
  <c r="S377" i="2"/>
  <c r="N377" i="2"/>
  <c r="N376" i="2"/>
  <c r="S376" i="2" s="1"/>
  <c r="S375" i="2"/>
  <c r="N375" i="2"/>
  <c r="S374" i="2"/>
  <c r="N373" i="2"/>
  <c r="S373" i="2" s="1"/>
  <c r="S372" i="2"/>
  <c r="S371" i="2"/>
  <c r="N370" i="2"/>
  <c r="S370" i="2" s="1"/>
  <c r="N369" i="2"/>
  <c r="S369" i="2" s="1"/>
  <c r="N368" i="2"/>
  <c r="S368" i="2" s="1"/>
  <c r="N367" i="2"/>
  <c r="S367" i="2" s="1"/>
  <c r="N366" i="2"/>
  <c r="S366" i="2" s="1"/>
  <c r="S365" i="2"/>
  <c r="S364" i="2"/>
  <c r="N364" i="2"/>
  <c r="N363" i="2"/>
  <c r="S363" i="2" s="1"/>
  <c r="S362" i="2"/>
  <c r="N361" i="2"/>
  <c r="S361" i="2" s="1"/>
  <c r="N360" i="2"/>
  <c r="S360" i="2" s="1"/>
  <c r="N359" i="2"/>
  <c r="S359" i="2" s="1"/>
  <c r="N358" i="2"/>
  <c r="S358" i="2" s="1"/>
  <c r="N357" i="2"/>
  <c r="S357" i="2" s="1"/>
  <c r="N356" i="2"/>
  <c r="S356" i="2" s="1"/>
  <c r="N355" i="2"/>
  <c r="S355" i="2" s="1"/>
  <c r="S354" i="2"/>
  <c r="N354" i="2"/>
  <c r="N353" i="2"/>
  <c r="S353" i="2" s="1"/>
  <c r="N352" i="2"/>
  <c r="S352" i="2" s="1"/>
  <c r="N351" i="2"/>
  <c r="S351" i="2" s="1"/>
  <c r="N350" i="2"/>
  <c r="S350" i="2" s="1"/>
  <c r="S349" i="2"/>
  <c r="S348" i="2"/>
  <c r="N348" i="2"/>
  <c r="S347" i="2"/>
  <c r="N347" i="2"/>
  <c r="S346" i="2"/>
  <c r="S345" i="2"/>
  <c r="N345" i="2"/>
  <c r="N344" i="2"/>
  <c r="S344" i="2" s="1"/>
  <c r="N343" i="2"/>
  <c r="S343" i="2" s="1"/>
  <c r="N342" i="2"/>
  <c r="S342" i="2" s="1"/>
  <c r="N341" i="2"/>
  <c r="S341" i="2" s="1"/>
  <c r="N340" i="2"/>
  <c r="S340" i="2" s="1"/>
  <c r="N339" i="2"/>
  <c r="S339" i="2" s="1"/>
  <c r="N338" i="2"/>
  <c r="S338" i="2" s="1"/>
  <c r="S337" i="2"/>
  <c r="N337" i="2"/>
  <c r="N336" i="2"/>
  <c r="S336" i="2" s="1"/>
  <c r="N335" i="2"/>
  <c r="S335" i="2" s="1"/>
  <c r="N334" i="2"/>
  <c r="S334" i="2" s="1"/>
  <c r="S333" i="2"/>
  <c r="S332" i="2"/>
  <c r="S331" i="2"/>
  <c r="S330" i="2"/>
  <c r="N330" i="2"/>
  <c r="S329" i="2"/>
  <c r="N328" i="2"/>
  <c r="S328" i="2" s="1"/>
  <c r="S327" i="2"/>
  <c r="N326" i="2"/>
  <c r="S326" i="2" s="1"/>
  <c r="S325" i="2"/>
  <c r="N325" i="2"/>
  <c r="N324" i="2"/>
  <c r="S324" i="2" s="1"/>
  <c r="S323" i="2"/>
  <c r="N323" i="2"/>
  <c r="N322" i="2"/>
  <c r="S322" i="2" s="1"/>
  <c r="S321" i="2"/>
  <c r="N321" i="2"/>
  <c r="S320" i="2"/>
  <c r="N320" i="2"/>
  <c r="N319" i="2"/>
  <c r="S319" i="2" s="1"/>
  <c r="S318" i="2"/>
  <c r="S317" i="2"/>
  <c r="S316" i="2"/>
  <c r="N316" i="2"/>
  <c r="N315" i="2"/>
  <c r="S315" i="2" s="1"/>
  <c r="S314" i="2"/>
  <c r="N314" i="2"/>
  <c r="N313" i="2"/>
  <c r="S313" i="2" s="1"/>
  <c r="S312" i="2"/>
  <c r="N311" i="2"/>
  <c r="S311" i="2" s="1"/>
  <c r="N310" i="2"/>
  <c r="S310" i="2" s="1"/>
  <c r="S309" i="2"/>
  <c r="N308" i="2"/>
  <c r="S308" i="2" s="1"/>
  <c r="S307" i="2"/>
  <c r="N307" i="2"/>
  <c r="N306" i="2"/>
  <c r="S306" i="2" s="1"/>
  <c r="S305" i="2"/>
  <c r="N305" i="2"/>
  <c r="N304" i="2"/>
  <c r="S304" i="2" s="1"/>
  <c r="S303" i="2"/>
  <c r="N303" i="2"/>
  <c r="S302" i="2"/>
  <c r="N301" i="2"/>
  <c r="S301" i="2" s="1"/>
  <c r="S300" i="2"/>
  <c r="N300" i="2"/>
  <c r="N299" i="2"/>
  <c r="S299" i="2" s="1"/>
  <c r="S298" i="2"/>
  <c r="N297" i="2"/>
  <c r="S297" i="2" s="1"/>
  <c r="S296" i="2"/>
  <c r="N296" i="2"/>
  <c r="N295" i="2"/>
  <c r="S295" i="2" s="1"/>
  <c r="S294" i="2"/>
  <c r="N294" i="2"/>
  <c r="S293" i="2"/>
  <c r="N292" i="2"/>
  <c r="S292" i="2" s="1"/>
  <c r="S291" i="2"/>
  <c r="N291" i="2"/>
  <c r="N290" i="2"/>
  <c r="S290" i="2" s="1"/>
  <c r="S289" i="2"/>
  <c r="N289" i="2"/>
  <c r="N288" i="2"/>
  <c r="S288" i="2" s="1"/>
  <c r="N287" i="2"/>
  <c r="S287" i="2" s="1"/>
  <c r="N286" i="2"/>
  <c r="S286" i="2" s="1"/>
  <c r="N285" i="2"/>
  <c r="S285" i="2" s="1"/>
  <c r="S284" i="2"/>
  <c r="N283" i="2"/>
  <c r="S283" i="2" s="1"/>
  <c r="N282" i="2"/>
  <c r="S282" i="2" s="1"/>
  <c r="N281" i="2"/>
  <c r="S281" i="2" s="1"/>
  <c r="N280" i="2"/>
  <c r="S280" i="2" s="1"/>
  <c r="S279" i="2"/>
  <c r="N279" i="2"/>
  <c r="N278" i="2"/>
  <c r="S278" i="2" s="1"/>
  <c r="S277" i="2"/>
  <c r="N276" i="2"/>
  <c r="S276" i="2" s="1"/>
  <c r="N275" i="2"/>
  <c r="S275" i="2" s="1"/>
  <c r="S274" i="2"/>
  <c r="N273" i="2"/>
  <c r="S273" i="2" s="1"/>
  <c r="S272" i="2"/>
  <c r="S271" i="2"/>
  <c r="N271" i="2"/>
  <c r="N270" i="2"/>
  <c r="S270" i="2" s="1"/>
  <c r="N269" i="2"/>
  <c r="S269" i="2" s="1"/>
  <c r="N268" i="2"/>
  <c r="S268" i="2" s="1"/>
  <c r="N267" i="2"/>
  <c r="S267" i="2" s="1"/>
  <c r="N266" i="2"/>
  <c r="S266" i="2" s="1"/>
  <c r="S265" i="2"/>
  <c r="N265" i="2"/>
  <c r="S264" i="2"/>
  <c r="N263" i="2"/>
  <c r="S263" i="2" s="1"/>
  <c r="S262" i="2"/>
  <c r="S261" i="2"/>
  <c r="S260" i="2"/>
  <c r="N260" i="2"/>
  <c r="N259" i="2"/>
  <c r="S259" i="2" s="1"/>
  <c r="S258" i="2"/>
  <c r="N257" i="2"/>
  <c r="S257" i="2" s="1"/>
  <c r="N256" i="2"/>
  <c r="S256" i="2" s="1"/>
  <c r="S255" i="2"/>
  <c r="N255" i="2"/>
  <c r="N254" i="2"/>
  <c r="S254" i="2" s="1"/>
  <c r="S253" i="2"/>
  <c r="N253" i="2"/>
  <c r="N252" i="2"/>
  <c r="S252" i="2" s="1"/>
  <c r="N251" i="2"/>
  <c r="S251" i="2" s="1"/>
  <c r="N250" i="2"/>
  <c r="S250" i="2" s="1"/>
  <c r="S249" i="2"/>
  <c r="S248" i="2"/>
  <c r="N248" i="2"/>
  <c r="N247" i="2"/>
  <c r="S247" i="2" s="1"/>
  <c r="N246" i="2"/>
  <c r="S246" i="2" s="1"/>
  <c r="N245" i="2"/>
  <c r="S245" i="2" s="1"/>
  <c r="N244" i="2"/>
  <c r="S244" i="2" s="1"/>
  <c r="S243" i="2"/>
  <c r="N242" i="2"/>
  <c r="S242" i="2" s="1"/>
  <c r="S241" i="2"/>
  <c r="S240" i="2"/>
  <c r="S239" i="2"/>
  <c r="S238" i="2"/>
  <c r="N238" i="2"/>
  <c r="N237" i="2"/>
  <c r="S237" i="2" s="1"/>
  <c r="S236" i="2"/>
  <c r="S235" i="2"/>
  <c r="S234" i="2"/>
  <c r="S233" i="2"/>
  <c r="S232" i="2"/>
  <c r="S231" i="2"/>
  <c r="S230" i="2"/>
  <c r="N230" i="2"/>
  <c r="N229" i="2"/>
  <c r="S229" i="2" s="1"/>
  <c r="S228" i="2"/>
  <c r="N228" i="2"/>
  <c r="S227" i="2"/>
  <c r="N227" i="2"/>
  <c r="S226" i="2"/>
  <c r="S225" i="2"/>
  <c r="N225" i="2"/>
  <c r="N224" i="2"/>
  <c r="S224" i="2" s="1"/>
  <c r="S223" i="2"/>
  <c r="N223" i="2"/>
  <c r="N222" i="2"/>
  <c r="S222" i="2" s="1"/>
  <c r="N221" i="2"/>
  <c r="S221" i="2" s="1"/>
  <c r="N220" i="2"/>
  <c r="S220" i="2" s="1"/>
  <c r="N219" i="2"/>
  <c r="S219" i="2" s="1"/>
  <c r="N218" i="2"/>
  <c r="S218" i="2" s="1"/>
  <c r="S217" i="2"/>
  <c r="N217" i="2"/>
  <c r="N216" i="2"/>
  <c r="S216" i="2" s="1"/>
  <c r="S215" i="2"/>
  <c r="N214" i="2"/>
  <c r="S214" i="2" s="1"/>
  <c r="S213" i="2"/>
  <c r="N213" i="2"/>
  <c r="N212" i="2"/>
  <c r="S212" i="2" s="1"/>
  <c r="S211" i="2"/>
  <c r="N210" i="2"/>
  <c r="S210" i="2" s="1"/>
  <c r="S209" i="2"/>
  <c r="N208" i="2"/>
  <c r="S208" i="2" s="1"/>
  <c r="S207" i="2"/>
  <c r="S206" i="2"/>
  <c r="N205" i="2"/>
  <c r="S205" i="2" s="1"/>
  <c r="S204" i="2"/>
  <c r="N203" i="2"/>
  <c r="S203" i="2" s="1"/>
  <c r="S202" i="2"/>
  <c r="N201" i="2"/>
  <c r="S201" i="2" s="1"/>
  <c r="S200" i="2"/>
  <c r="N200" i="2"/>
  <c r="S199" i="2"/>
  <c r="N199" i="2"/>
  <c r="N198" i="2"/>
  <c r="S198" i="2" s="1"/>
  <c r="N197" i="2"/>
  <c r="S197" i="2" s="1"/>
  <c r="N196" i="2"/>
  <c r="S196" i="2" s="1"/>
  <c r="N195" i="2"/>
  <c r="S195" i="2" s="1"/>
  <c r="S194" i="2"/>
  <c r="N194" i="2"/>
  <c r="N193" i="2"/>
  <c r="S193" i="2" s="1"/>
  <c r="S192" i="2"/>
  <c r="N192" i="2"/>
  <c r="S191" i="2"/>
  <c r="N191" i="2"/>
  <c r="N190" i="2"/>
  <c r="S190" i="2" s="1"/>
  <c r="S189" i="2"/>
  <c r="N188" i="2"/>
  <c r="S188" i="2" s="1"/>
  <c r="S187" i="2"/>
  <c r="N187" i="2"/>
  <c r="N186" i="2"/>
  <c r="S186" i="2" s="1"/>
  <c r="N185" i="2"/>
  <c r="S185" i="2" s="1"/>
  <c r="N184" i="2"/>
  <c r="S184" i="2" s="1"/>
  <c r="N183" i="2"/>
  <c r="S183" i="2" s="1"/>
  <c r="S182" i="2"/>
  <c r="N181" i="2"/>
  <c r="S181" i="2" s="1"/>
  <c r="N180" i="2"/>
  <c r="S180" i="2" s="1"/>
  <c r="N179" i="2"/>
  <c r="S179" i="2" s="1"/>
  <c r="S178" i="2"/>
  <c r="N177" i="2"/>
  <c r="S177" i="2" s="1"/>
  <c r="N176" i="2"/>
  <c r="S176" i="2" s="1"/>
  <c r="S175" i="2"/>
  <c r="S174" i="2"/>
  <c r="N174" i="2"/>
  <c r="S173" i="2"/>
  <c r="N173" i="2"/>
  <c r="N172" i="2"/>
  <c r="S172" i="2" s="1"/>
  <c r="N171" i="2"/>
  <c r="S171" i="2" s="1"/>
  <c r="N170" i="2"/>
  <c r="S170" i="2" s="1"/>
  <c r="N169" i="2"/>
  <c r="S169" i="2" s="1"/>
  <c r="S168" i="2"/>
  <c r="N168" i="2"/>
  <c r="N167" i="2"/>
  <c r="S167" i="2" s="1"/>
  <c r="S166" i="2"/>
  <c r="N166" i="2"/>
  <c r="S165" i="2"/>
  <c r="S164" i="2"/>
  <c r="S163" i="2"/>
  <c r="S162" i="2"/>
  <c r="N161" i="2"/>
  <c r="S161" i="2" s="1"/>
  <c r="N160" i="2"/>
  <c r="S160" i="2" s="1"/>
  <c r="N159" i="2"/>
  <c r="S159" i="2" s="1"/>
  <c r="S158" i="2"/>
  <c r="N157" i="2"/>
  <c r="S157" i="2" s="1"/>
  <c r="S156" i="2"/>
  <c r="S155" i="2"/>
  <c r="N155" i="2"/>
  <c r="S154" i="2"/>
  <c r="S153" i="2"/>
  <c r="N152" i="2"/>
  <c r="S152" i="2" s="1"/>
  <c r="N151" i="2"/>
  <c r="S151" i="2" s="1"/>
  <c r="N150" i="2"/>
  <c r="S150" i="2" s="1"/>
  <c r="N149" i="2"/>
  <c r="S149" i="2" s="1"/>
  <c r="S148" i="2"/>
  <c r="N148" i="2"/>
  <c r="N147" i="2"/>
  <c r="S147" i="2" s="1"/>
  <c r="S146" i="2"/>
  <c r="N146" i="2"/>
  <c r="S145" i="2"/>
  <c r="N145" i="2"/>
  <c r="N144" i="2"/>
  <c r="S144" i="2" s="1"/>
  <c r="N143" i="2"/>
  <c r="S143" i="2" s="1"/>
  <c r="N142" i="2"/>
  <c r="S142" i="2" s="1"/>
  <c r="N141" i="2"/>
  <c r="S141" i="2" s="1"/>
  <c r="S140" i="2"/>
  <c r="N140" i="2"/>
  <c r="N139" i="2"/>
  <c r="S139" i="2" s="1"/>
  <c r="S138" i="2"/>
  <c r="N137" i="2"/>
  <c r="S137" i="2" s="1"/>
  <c r="S136" i="2"/>
  <c r="N135" i="2"/>
  <c r="S135" i="2" s="1"/>
  <c r="N134" i="2"/>
  <c r="S134" i="2" s="1"/>
  <c r="S133" i="2"/>
  <c r="S132" i="2"/>
  <c r="N131" i="2"/>
  <c r="S131" i="2" s="1"/>
  <c r="S130" i="2"/>
  <c r="N129" i="2"/>
  <c r="S129" i="2" s="1"/>
  <c r="N128" i="2"/>
  <c r="S128" i="2" s="1"/>
  <c r="N127" i="2"/>
  <c r="S127" i="2" s="1"/>
  <c r="S126" i="2"/>
  <c r="N125" i="2"/>
  <c r="S125" i="2" s="1"/>
  <c r="N124" i="2"/>
  <c r="S124" i="2" s="1"/>
  <c r="N123" i="2"/>
  <c r="S123" i="2" s="1"/>
  <c r="N122" i="2"/>
  <c r="S122" i="2" s="1"/>
  <c r="S121" i="2"/>
  <c r="N121" i="2"/>
  <c r="N120" i="2"/>
  <c r="S120" i="2" s="1"/>
  <c r="S119" i="2"/>
  <c r="N119" i="2"/>
  <c r="S118" i="2"/>
  <c r="N117" i="2"/>
  <c r="S117" i="2" s="1"/>
  <c r="S116" i="2"/>
  <c r="N116" i="2"/>
  <c r="N115" i="2"/>
  <c r="S115" i="2" s="1"/>
  <c r="S114" i="2"/>
  <c r="N113" i="2"/>
  <c r="S113" i="2" s="1"/>
  <c r="S112" i="2"/>
  <c r="N111" i="2"/>
  <c r="S111" i="2" s="1"/>
  <c r="S110" i="2"/>
  <c r="S109" i="2"/>
  <c r="N109" i="2"/>
  <c r="S108" i="2"/>
  <c r="N107" i="2"/>
  <c r="S107" i="2" s="1"/>
  <c r="S106" i="2"/>
  <c r="S105" i="2"/>
  <c r="S104" i="2"/>
  <c r="N103" i="2"/>
  <c r="S103" i="2" s="1"/>
  <c r="N102" i="2"/>
  <c r="S102" i="2" s="1"/>
  <c r="S101" i="2"/>
  <c r="S100" i="2"/>
  <c r="S99" i="2"/>
  <c r="N98" i="2"/>
  <c r="S98" i="2" s="1"/>
  <c r="N97" i="2"/>
  <c r="S97" i="2" s="1"/>
  <c r="S96" i="2"/>
  <c r="N95" i="2"/>
  <c r="S95" i="2" s="1"/>
  <c r="N94" i="2"/>
  <c r="S94" i="2" s="1"/>
  <c r="S93" i="2"/>
  <c r="S92" i="2"/>
  <c r="N92" i="2"/>
  <c r="N91" i="2"/>
  <c r="S91" i="2" s="1"/>
  <c r="S90" i="2"/>
  <c r="S89" i="2"/>
  <c r="N88" i="2"/>
  <c r="S88" i="2" s="1"/>
  <c r="N87" i="2"/>
  <c r="S87" i="2" s="1"/>
  <c r="N86" i="2"/>
  <c r="S86" i="2" s="1"/>
  <c r="S85" i="2"/>
  <c r="S84" i="2"/>
  <c r="N83" i="2"/>
  <c r="S83" i="2" s="1"/>
  <c r="S82" i="2"/>
  <c r="N82" i="2"/>
  <c r="S81" i="2"/>
  <c r="S80" i="2"/>
  <c r="N79" i="2"/>
  <c r="S79" i="2" s="1"/>
  <c r="N78" i="2"/>
  <c r="S78" i="2" s="1"/>
  <c r="N77" i="2"/>
  <c r="S77" i="2" s="1"/>
  <c r="N76" i="2"/>
  <c r="S76" i="2" s="1"/>
  <c r="S75" i="2"/>
  <c r="N75" i="2"/>
  <c r="N74" i="2"/>
  <c r="S74" i="2" s="1"/>
  <c r="S73" i="2"/>
  <c r="N73" i="2"/>
  <c r="S72" i="2"/>
  <c r="S71" i="2"/>
  <c r="N71" i="2"/>
  <c r="N70" i="2"/>
  <c r="S70" i="2" s="1"/>
  <c r="S69" i="2"/>
  <c r="N69" i="2"/>
  <c r="S68" i="2"/>
  <c r="N67" i="2"/>
  <c r="S67" i="2" s="1"/>
  <c r="S66" i="2"/>
  <c r="N65" i="2"/>
  <c r="S65" i="2" s="1"/>
  <c r="S64" i="2"/>
  <c r="S63" i="2"/>
  <c r="N63" i="2"/>
  <c r="S62" i="2"/>
  <c r="S61" i="2"/>
  <c r="N61" i="2"/>
  <c r="N60" i="2"/>
  <c r="S60" i="2" s="1"/>
  <c r="S59" i="2"/>
  <c r="N59" i="2"/>
  <c r="S58" i="2"/>
  <c r="N58" i="2"/>
  <c r="N57" i="2"/>
  <c r="S57" i="2" s="1"/>
  <c r="N56" i="2"/>
  <c r="S56" i="2" s="1"/>
  <c r="N55" i="2"/>
  <c r="S55" i="2" s="1"/>
  <c r="N54" i="2"/>
  <c r="S54" i="2" s="1"/>
  <c r="S53" i="2"/>
  <c r="N53" i="2"/>
  <c r="N52" i="2"/>
  <c r="S52" i="2" s="1"/>
  <c r="S51" i="2"/>
  <c r="N51" i="2"/>
  <c r="S50" i="2"/>
  <c r="N50" i="2"/>
  <c r="S49" i="2"/>
  <c r="S48" i="2"/>
  <c r="N48" i="2"/>
  <c r="N47" i="2"/>
  <c r="S47" i="2" s="1"/>
  <c r="S46" i="2"/>
  <c r="N46" i="2"/>
  <c r="N45" i="2"/>
  <c r="S45" i="2" s="1"/>
  <c r="N44" i="2"/>
  <c r="S44" i="2" s="1"/>
  <c r="S43" i="2"/>
  <c r="S42" i="2"/>
  <c r="N42" i="2"/>
  <c r="S41" i="2"/>
  <c r="N41" i="2"/>
  <c r="N40" i="2"/>
  <c r="S40" i="2" s="1"/>
  <c r="N39" i="2"/>
  <c r="S39" i="2" s="1"/>
  <c r="S38" i="2"/>
  <c r="S37" i="2"/>
  <c r="N37" i="2"/>
  <c r="N36" i="2"/>
  <c r="S36" i="2" s="1"/>
  <c r="N35" i="2"/>
  <c r="S35" i="2" s="1"/>
  <c r="N34" i="2"/>
  <c r="S34" i="2" s="1"/>
  <c r="N33" i="2"/>
  <c r="S33" i="2" s="1"/>
  <c r="N32" i="2"/>
  <c r="S32" i="2" s="1"/>
  <c r="S31" i="2"/>
  <c r="N31" i="2"/>
  <c r="N30" i="2"/>
  <c r="S30" i="2" s="1"/>
  <c r="S29" i="2"/>
  <c r="N29" i="2"/>
  <c r="N28" i="2"/>
  <c r="S28" i="2" s="1"/>
  <c r="N27" i="2"/>
  <c r="S27" i="2" s="1"/>
  <c r="N26" i="2"/>
  <c r="S26" i="2" s="1"/>
  <c r="N25" i="2"/>
  <c r="S25" i="2" s="1"/>
  <c r="N24" i="2"/>
  <c r="S24" i="2" s="1"/>
  <c r="S23" i="2"/>
  <c r="N23" i="2"/>
  <c r="N22" i="2"/>
  <c r="S22" i="2" s="1"/>
  <c r="S21" i="2"/>
  <c r="N21" i="2"/>
  <c r="N20" i="2"/>
  <c r="S20" i="2" s="1"/>
  <c r="S19" i="2"/>
  <c r="N18" i="2"/>
  <c r="S18" i="2" s="1"/>
  <c r="S17" i="2"/>
  <c r="N17" i="2"/>
  <c r="S16" i="2"/>
  <c r="N16" i="2"/>
  <c r="S15" i="2"/>
  <c r="S14" i="2"/>
  <c r="N14" i="2"/>
  <c r="S13" i="2"/>
  <c r="N12" i="2"/>
  <c r="S12" i="2" s="1"/>
  <c r="N11" i="2"/>
  <c r="S11" i="2" s="1"/>
  <c r="S10" i="2"/>
  <c r="N9" i="2"/>
  <c r="S9" i="2" s="1"/>
  <c r="N8" i="2"/>
  <c r="S8" i="2" s="1"/>
  <c r="N7" i="2"/>
  <c r="B434" i="2" s="1"/>
  <c r="N6" i="2"/>
  <c r="S6" i="2" s="1"/>
  <c r="S5" i="2"/>
  <c r="N4" i="2"/>
  <c r="S4" i="2" s="1"/>
  <c r="N3" i="2"/>
  <c r="S3" i="2" s="1"/>
  <c r="N2" i="2"/>
  <c r="S2" i="2" s="1"/>
  <c r="B438" i="2" l="1"/>
  <c r="S7" i="2"/>
  <c r="B439" i="2" s="1"/>
  <c r="B435" i="2"/>
</calcChain>
</file>

<file path=xl/sharedStrings.xml><?xml version="1.0" encoding="utf-8"?>
<sst xmlns="http://schemas.openxmlformats.org/spreadsheetml/2006/main" count="4378" uniqueCount="2256">
  <si>
    <t>IPO Class of 2000 — Ritter roster x Bloomberg x Web (v2)</t>
  </si>
  <si>
    <t>Built 2026-07-21. Three-source waterfall: Ritter defines the roster; Bloomberg (EQS screen + reference data) supplies terms; web-cited figures fill the largest residual gaps.</t>
  </si>
  <si>
    <t>SOURCE TIERS (match_source)</t>
  </si>
  <si>
    <t>BBG screen / BBG screen (via rename)</t>
  </si>
  <si>
    <t>Offer px &amp; shares from Bloomberg. gross_proceeds = px x shares (ex-greenshoe).</t>
  </si>
  <si>
    <t>Web (cited)</t>
  </si>
  <si>
    <t>Proceeds from cited press/primary sources (see web_source col). Five deals: Infineon $5.2B, China Unicom $4.9B, Sinopec $3.45B, PetroChina $2.89B, TyCom $2.0B.</t>
  </si>
  <si>
    <t>BBG reference (no terms) / unresolved / not found</t>
  </si>
  <si>
    <t>No proceeds yet. See Remaining_Gaps tab.</t>
  </si>
  <si>
    <t>PROCEEDS SCOPE CAVEAT</t>
  </si>
  <si>
    <t>ADR mega-deals are GLOBAL offering totals (all tranches), not the US-listed tranche alone. Ritter's $64.8B excludes ADRs entirely, so scope only affects the all-in series. best_proceeds_mm mixes scopes deliberately; filter by proceeds_scope for a US-only view.</t>
  </si>
  <si>
    <t>CALIBRATION</t>
  </si>
  <si>
    <t>Domestic (adr_flag=1) captured</t>
  </si>
  <si>
    <t>$54.7B of Ritter's $64.80B benchmark = 84%. Residual = 74 domestic names without terms (median 2000 deal ~ $80-120M -&gt; est. $7-10B) + rounding/greenshoe conventions.</t>
  </si>
  <si>
    <t>All-in captured (incl. ADR globals)</t>
  </si>
  <si>
    <t>$71.1B across 324 deals with proceeds.</t>
  </si>
  <si>
    <t>CLOSING THE REST (recommended order)</t>
  </si>
  <si>
    <t>1. Kenney-Patton IPO database</t>
  </si>
  <si>
    <t>Prospectus-extracted offer px &amp; shares for 1990-2018, exactly the missing fields; free by request (Don Patton, UC Davis; linked from Ritter's data page). Systematic fix for the 100+ small names.</t>
  </si>
  <si>
    <t>2. EDGAR 424B filings</t>
  </si>
  <si>
    <t>Definitive per-deal terms for domestic stragglers; manual pulls (2000 pre-dates EDGAR full-text search but filings exist).</t>
  </si>
  <si>
    <t>3. Targeted web passes</t>
  </si>
  <si>
    <t>I can run further cited fills on request; prioritize Remaining_Gaps rows flagged likely &gt;$200M.</t>
  </si>
  <si>
    <t>PLUG ESTIMATES (v3)</t>
  </si>
  <si>
    <t>75 domestic names without sourced terms carry a flat plug of $135.0mm each = (64,800 - 54,677 captured) / 75, so the domestic Final Proceeds column sums exactly to Ritter's $64.80B.</t>
  </si>
  <si>
    <t>Plugs are placeholders, italicized, and flagged '+ plug estimate' in match_source. They tie the ANNUAL total by construction; intra-year cumulative shape in plug months is approximate (flat-size assumption). Replace with Kenney-Patton/EDGAR terms as sourced. ADR gap names (37) carry no plug - no Ritter benchmark exists for them.</t>
  </si>
  <si>
    <t>Ritter Name</t>
  </si>
  <si>
    <t>Ritter Ticker</t>
  </si>
  <si>
    <t>CUSIP</t>
  </si>
  <si>
    <t>Ritter Offer Date</t>
  </si>
  <si>
    <t>ADR Flag</t>
  </si>
  <si>
    <t>VC</t>
  </si>
  <si>
    <t>Internet</t>
  </si>
  <si>
    <t>Match Source</t>
  </si>
  <si>
    <t>BBG ID</t>
  </si>
  <si>
    <t>BBG Name</t>
  </si>
  <si>
    <t>BBG/Web IPO Date</t>
  </si>
  <si>
    <t>Offer Px ($)</t>
  </si>
  <si>
    <t>Shares Offered (mm)</t>
  </si>
  <si>
    <t>Best Proceeds ($mm)</t>
  </si>
  <si>
    <t>Proceeds Scope</t>
  </si>
  <si>
    <t>First-Open vs Offer (%)</t>
  </si>
  <si>
    <t>Web Source</t>
  </si>
  <si>
    <t>Est Plug ($mm)</t>
  </si>
  <si>
    <t>Final Proceeds ($mm)</t>
  </si>
  <si>
    <t>Neoforma.com Inc</t>
  </si>
  <si>
    <t>NEOF</t>
  </si>
  <si>
    <t>640475109</t>
  </si>
  <si>
    <t>2000-01-24</t>
  </si>
  <si>
    <t>BBG screen</t>
  </si>
  <si>
    <t>NEOFORMA INC</t>
  </si>
  <si>
    <t>US offering</t>
  </si>
  <si>
    <t>Regent Communications Inc</t>
  </si>
  <si>
    <t>RGCI</t>
  </si>
  <si>
    <t>758865109</t>
  </si>
  <si>
    <t>BBG screen (via rename)</t>
  </si>
  <si>
    <t>RGCIQ</t>
  </si>
  <si>
    <t>TOWNSQUARE MEDIA 2010 INC</t>
  </si>
  <si>
    <t>HealthGate Data Corp</t>
  </si>
  <si>
    <t>HGAT</t>
  </si>
  <si>
    <t>42222H106</t>
  </si>
  <si>
    <t>2000-01-25</t>
  </si>
  <si>
    <t>HEALTHGATE DATA CORP</t>
  </si>
  <si>
    <t>Extensity Inc</t>
  </si>
  <si>
    <t>EXTN</t>
  </si>
  <si>
    <t>302255104</t>
  </si>
  <si>
    <t>2000-01-26</t>
  </si>
  <si>
    <t>BBG reference (no terms) + plug estimate</t>
  </si>
  <si>
    <t>EXTN US</t>
  </si>
  <si>
    <t>Enerflex US Holdings Inc</t>
  </si>
  <si>
    <t>John Hancock Financial Svcs</t>
  </si>
  <si>
    <t>JHF</t>
  </si>
  <si>
    <t>41014S106</t>
  </si>
  <si>
    <t>JOHN HANCOCK FINANCIAL SRVCS</t>
  </si>
  <si>
    <t>T/R Systems Inc</t>
  </si>
  <si>
    <t>TRSI</t>
  </si>
  <si>
    <t>87263U102</t>
  </si>
  <si>
    <t>695534Q</t>
  </si>
  <si>
    <t>T/R SYSTEMS INC</t>
  </si>
  <si>
    <t>Packaging Corp of America</t>
  </si>
  <si>
    <t>PKG</t>
  </si>
  <si>
    <t>695156109</t>
  </si>
  <si>
    <t>2000-01-27</t>
  </si>
  <si>
    <t>PACKAGING CORP OF AMERICA</t>
  </si>
  <si>
    <t>NATCO Group Inc</t>
  </si>
  <si>
    <t>NTG</t>
  </si>
  <si>
    <t>63227W203</t>
  </si>
  <si>
    <t>3695043Q</t>
  </si>
  <si>
    <t>NATCO GROUP INC-A</t>
  </si>
  <si>
    <t>2000-01-28</t>
  </si>
  <si>
    <t>724 Solutions Inc</t>
  </si>
  <si>
    <t>SVNX</t>
  </si>
  <si>
    <t>81788Q100</t>
  </si>
  <si>
    <t>SVNX US</t>
  </si>
  <si>
    <t>Aspect Medical Systems Inc</t>
  </si>
  <si>
    <t>ASPM</t>
  </si>
  <si>
    <t>045235108</t>
  </si>
  <si>
    <t>ASPECT MEDICAL SYSTEMS INC</t>
  </si>
  <si>
    <t>Caminus Corp</t>
  </si>
  <si>
    <t>CAMZ</t>
  </si>
  <si>
    <t>133766105</t>
  </si>
  <si>
    <t>FIS ENERGY SYSTEMS INC</t>
  </si>
  <si>
    <t>interWAVE Communications</t>
  </si>
  <si>
    <t>IWAV</t>
  </si>
  <si>
    <t>G4911N102</t>
  </si>
  <si>
    <t>IWAV US</t>
  </si>
  <si>
    <t>Interwave Communications Inter</t>
  </si>
  <si>
    <t>L90 Inc</t>
  </si>
  <si>
    <t>LNTY</t>
  </si>
  <si>
    <t>539441105</t>
  </si>
  <si>
    <t>MAXW</t>
  </si>
  <si>
    <t>MAXWORLDWIDE INC</t>
  </si>
  <si>
    <t>ST Assembly Test Services Pte</t>
  </si>
  <si>
    <t>STTS</t>
  </si>
  <si>
    <t>85227G102</t>
  </si>
  <si>
    <t>BBG reference (no terms)</t>
  </si>
  <si>
    <t>STTS US</t>
  </si>
  <si>
    <t>STATS ChipPAC Pte Ltd</t>
  </si>
  <si>
    <t>Telaxis Communications Corp</t>
  </si>
  <si>
    <t>TLXS</t>
  </si>
  <si>
    <t>879202109</t>
  </si>
  <si>
    <t>2000-02-01</t>
  </si>
  <si>
    <t>PRXM</t>
  </si>
  <si>
    <t>PROXIM WIRELESS CORP</t>
  </si>
  <si>
    <t>Turnstone Systems Inc</t>
  </si>
  <si>
    <t>TSTN</t>
  </si>
  <si>
    <t>900423104</t>
  </si>
  <si>
    <t>0618171D</t>
  </si>
  <si>
    <t>TURNSTONE SYSTEMS INC</t>
  </si>
  <si>
    <t>2000-01-31</t>
  </si>
  <si>
    <t>SkillSoft Corp</t>
  </si>
  <si>
    <t>SKIL</t>
  </si>
  <si>
    <t>83066P101</t>
  </si>
  <si>
    <t>139663Q</t>
  </si>
  <si>
    <t>SKILLSOFT US LLC</t>
  </si>
  <si>
    <t>IMPSAT Fiber Networks Inc</t>
  </si>
  <si>
    <t>IMPT</t>
  </si>
  <si>
    <t>45321T103</t>
  </si>
  <si>
    <t>unresolved (ticker recycled) + plug estimate</t>
  </si>
  <si>
    <t>Quantum Effect Devices Inc</t>
  </si>
  <si>
    <t>QEDI</t>
  </si>
  <si>
    <t>74764T107</t>
  </si>
  <si>
    <t>QUANTUM EFFECT DEVICES INC</t>
  </si>
  <si>
    <t>Sequenom Inc</t>
  </si>
  <si>
    <t>SQNM</t>
  </si>
  <si>
    <t>817337108</t>
  </si>
  <si>
    <t>SEQUENOM INC</t>
  </si>
  <si>
    <t>Centra Software Inc</t>
  </si>
  <si>
    <t>CTRA</t>
  </si>
  <si>
    <t>15234X103</t>
  </si>
  <si>
    <t>2000-02-02</t>
  </si>
  <si>
    <t>1510484D</t>
  </si>
  <si>
    <t>CENTRA SOFTWARE INC</t>
  </si>
  <si>
    <t>Alamosa PCS Holdings Inc</t>
  </si>
  <si>
    <t>APCS</t>
  </si>
  <si>
    <t>011593100</t>
  </si>
  <si>
    <t>2000-02-03</t>
  </si>
  <si>
    <t>3539245Q</t>
  </si>
  <si>
    <t>ALAMOSA HOLDINGS INC</t>
  </si>
  <si>
    <t>Antigenics Inc</t>
  </si>
  <si>
    <t>AGEN</t>
  </si>
  <si>
    <t>037032109</t>
  </si>
  <si>
    <t>AGENUS INC</t>
  </si>
  <si>
    <t>Avanex Corp</t>
  </si>
  <si>
    <t>AVNX</t>
  </si>
  <si>
    <t>05348W109</t>
  </si>
  <si>
    <t>LUMENTUM ITALY INC</t>
  </si>
  <si>
    <t>Dobson Communications Corp</t>
  </si>
  <si>
    <t>DCEL</t>
  </si>
  <si>
    <t>256069105</t>
  </si>
  <si>
    <t>1292387D</t>
  </si>
  <si>
    <t>DOBSON COMMUNICATIONS CORP</t>
  </si>
  <si>
    <t>Mediacom Communications Corp</t>
  </si>
  <si>
    <t>MCCC</t>
  </si>
  <si>
    <t>58446K105</t>
  </si>
  <si>
    <t>MEDIACOM COMMUNICATIONS-A</t>
  </si>
  <si>
    <t>Therma-Wave Inc</t>
  </si>
  <si>
    <t>TWAV</t>
  </si>
  <si>
    <t>88343A108</t>
  </si>
  <si>
    <t>2679945Q</t>
  </si>
  <si>
    <t>THERMA-WAVE INC</t>
  </si>
  <si>
    <t>WorldQuest Networks Inc</t>
  </si>
  <si>
    <t>WQNI</t>
  </si>
  <si>
    <t>98156W105</t>
  </si>
  <si>
    <t>2000-02-04</t>
  </si>
  <si>
    <t>WQN INC</t>
  </si>
  <si>
    <t>FirePond Inc</t>
  </si>
  <si>
    <t>FIRE</t>
  </si>
  <si>
    <t>318224102</t>
  </si>
  <si>
    <t>827691Q</t>
  </si>
  <si>
    <t>FIREPOND INC</t>
  </si>
  <si>
    <t>Emerge Interactive Inc</t>
  </si>
  <si>
    <t>EMRG</t>
  </si>
  <si>
    <t>29088W103</t>
  </si>
  <si>
    <t>EMERGE INTERACTIVE INC -CL A</t>
  </si>
  <si>
    <t>eOn Communications Corp</t>
  </si>
  <si>
    <t>EONC</t>
  </si>
  <si>
    <t>268763109</t>
  </si>
  <si>
    <t>INVT</t>
  </si>
  <si>
    <t>INVENTERGY GLOBAL INC</t>
  </si>
  <si>
    <t>Buy.com Inc</t>
  </si>
  <si>
    <t>BUYX</t>
  </si>
  <si>
    <t>124269101</t>
  </si>
  <si>
    <t>2000-02-07</t>
  </si>
  <si>
    <t>BUY.COM INC-OLD</t>
  </si>
  <si>
    <t>Fastnet Corp</t>
  </si>
  <si>
    <t>FSST</t>
  </si>
  <si>
    <t>311877104</t>
  </si>
  <si>
    <t>2000-02-08</t>
  </si>
  <si>
    <t>FSSTQ</t>
  </si>
  <si>
    <t>FASTNET CORPORATION</t>
  </si>
  <si>
    <t>Landacorp Inc</t>
  </si>
  <si>
    <t>LCOR</t>
  </si>
  <si>
    <t>514756105</t>
  </si>
  <si>
    <t>0404579D</t>
  </si>
  <si>
    <t>LANDACORP INC</t>
  </si>
  <si>
    <t>Vicinity Corp</t>
  </si>
  <si>
    <t>VCNT</t>
  </si>
  <si>
    <t>925653107</t>
  </si>
  <si>
    <t>VICINITY CORP</t>
  </si>
  <si>
    <t>Cypress Communications Corp</t>
  </si>
  <si>
    <t>CYCO</t>
  </si>
  <si>
    <t>232743104</t>
  </si>
  <si>
    <t>2000-02-09</t>
  </si>
  <si>
    <t>CYPRESS COMMUNICATIONS INC</t>
  </si>
  <si>
    <t>Delano Technology Corp</t>
  </si>
  <si>
    <t>DTEC</t>
  </si>
  <si>
    <t>245701107</t>
  </si>
  <si>
    <t>Organic Inc</t>
  </si>
  <si>
    <t>OGNC</t>
  </si>
  <si>
    <t>68617E101</t>
  </si>
  <si>
    <t>ORGANIC INC</t>
  </si>
  <si>
    <t>Witness Systems Inc</t>
  </si>
  <si>
    <t>WITS</t>
  </si>
  <si>
    <t>977424100</t>
  </si>
  <si>
    <t>WITNESS SYSTEMS INC</t>
  </si>
  <si>
    <t>XCarenet Inc</t>
  </si>
  <si>
    <t>XCAR</t>
  </si>
  <si>
    <t>98388Y101</t>
  </si>
  <si>
    <t>QVDX</t>
  </si>
  <si>
    <t>HEALTHVISION</t>
  </si>
  <si>
    <t>Lightspan Partnership Inc</t>
  </si>
  <si>
    <t>LSPN</t>
  </si>
  <si>
    <t>532262102</t>
  </si>
  <si>
    <t>2000-02-10</t>
  </si>
  <si>
    <t>715097Q</t>
  </si>
  <si>
    <t>LIGHTSPAN INC</t>
  </si>
  <si>
    <t>webMethods Inc</t>
  </si>
  <si>
    <t>WEBM</t>
  </si>
  <si>
    <t>94768C108</t>
  </si>
  <si>
    <t>WEBM US</t>
  </si>
  <si>
    <t>Mecklermedia Corp</t>
  </si>
  <si>
    <t>Precis Smart Card Systems Inc</t>
  </si>
  <si>
    <t>PCIS</t>
  </si>
  <si>
    <t>740184106</t>
  </si>
  <si>
    <t>AUSA</t>
  </si>
  <si>
    <t>ACCESS PLANS USA INC</t>
  </si>
  <si>
    <t>Fargo Electronics Inc</t>
  </si>
  <si>
    <t>FRGO</t>
  </si>
  <si>
    <t>30744P102</t>
  </si>
  <si>
    <t>FARGO ELECTRONICS</t>
  </si>
  <si>
    <t>Lante Corp</t>
  </si>
  <si>
    <t>LNTE</t>
  </si>
  <si>
    <t>516540101</t>
  </si>
  <si>
    <t>LANTE CORP</t>
  </si>
  <si>
    <t>2000-02-11</t>
  </si>
  <si>
    <t>Pets.com Inc</t>
  </si>
  <si>
    <t>IPET</t>
  </si>
  <si>
    <t>71676K109</t>
  </si>
  <si>
    <t>IPETZ</t>
  </si>
  <si>
    <t>IPET HOLDINGS INC/UNITED STA</t>
  </si>
  <si>
    <t>Beasley Broadcast Group Inc</t>
  </si>
  <si>
    <t>BBGI</t>
  </si>
  <si>
    <t>074014101</t>
  </si>
  <si>
    <t>BEASLEY BROADCAST GRP INC -A</t>
  </si>
  <si>
    <t>Flag Telecom Holdings Ltd</t>
  </si>
  <si>
    <t>FTHL</t>
  </si>
  <si>
    <t>G3529L102</t>
  </si>
  <si>
    <t>FTHL US</t>
  </si>
  <si>
    <t>FLAG Telecom Holdings Ltd</t>
  </si>
  <si>
    <t>VIA NET.WORKS Inc</t>
  </si>
  <si>
    <t>VNWI</t>
  </si>
  <si>
    <t>925912107</t>
  </si>
  <si>
    <t>VIA NET.WORKS INC</t>
  </si>
  <si>
    <t>Savvis Communications Corp</t>
  </si>
  <si>
    <t>SVVS</t>
  </si>
  <si>
    <t>805423100</t>
  </si>
  <si>
    <t>2000-02-14</t>
  </si>
  <si>
    <t>SAVVIS INC</t>
  </si>
  <si>
    <t>Diversa Corp</t>
  </si>
  <si>
    <t>DVSA</t>
  </si>
  <si>
    <t>255064107</t>
  </si>
  <si>
    <t>VRNM</t>
  </si>
  <si>
    <t>BASF ENZYMES LLC</t>
  </si>
  <si>
    <t>Sunhawk.com Corp</t>
  </si>
  <si>
    <t>SNHK</t>
  </si>
  <si>
    <t>86737B104</t>
  </si>
  <si>
    <t>SDRV</t>
  </si>
  <si>
    <t>STARDRIVE SOLUTIONS INC</t>
  </si>
  <si>
    <t>Vantagemed Corp</t>
  </si>
  <si>
    <t>VMDC</t>
  </si>
  <si>
    <t>92208W106</t>
  </si>
  <si>
    <t>2000-02-15</t>
  </si>
  <si>
    <t>VANTAGEMED CORP</t>
  </si>
  <si>
    <t>VarsityBooks.com Inc</t>
  </si>
  <si>
    <t>VSTY</t>
  </si>
  <si>
    <t>922300100</t>
  </si>
  <si>
    <t>2557200D</t>
  </si>
  <si>
    <t>VARSITY GROUP INC</t>
  </si>
  <si>
    <t>LendingTree Inc</t>
  </si>
  <si>
    <t>TREE</t>
  </si>
  <si>
    <t>52602Q105</t>
  </si>
  <si>
    <t>2960654Q</t>
  </si>
  <si>
    <t>LENDINGTREE INC</t>
  </si>
  <si>
    <t>2000-02-16</t>
  </si>
  <si>
    <t>b2bstores.com Inc</t>
  </si>
  <si>
    <t>BTBC</t>
  </si>
  <si>
    <t>11776S107</t>
  </si>
  <si>
    <t>ERBA</t>
  </si>
  <si>
    <t>ERBA DIAGNOSTICS INC</t>
  </si>
  <si>
    <t>Chordiant Software Inc</t>
  </si>
  <si>
    <t>CHRD</t>
  </si>
  <si>
    <t>170404107</t>
  </si>
  <si>
    <t>2096692D</t>
  </si>
  <si>
    <t>CHORDIANT SOFTWARE INC</t>
  </si>
  <si>
    <t>Jeremy's Microbatch Ice Creams</t>
  </si>
  <si>
    <t>JMIC</t>
  </si>
  <si>
    <t>476319108</t>
  </si>
  <si>
    <t>JEREMY'S MICROBATCH ICE CREA</t>
  </si>
  <si>
    <t>Choice One Communications</t>
  </si>
  <si>
    <t>CWON</t>
  </si>
  <si>
    <t>17038P104</t>
  </si>
  <si>
    <t>CWONQ</t>
  </si>
  <si>
    <t>ONE COMMUNICATIONS</t>
  </si>
  <si>
    <t>Eloquent Inc</t>
  </si>
  <si>
    <t>ELOQ</t>
  </si>
  <si>
    <t>290140102</t>
  </si>
  <si>
    <t>52245Q</t>
  </si>
  <si>
    <t>ELOQUENT INC</t>
  </si>
  <si>
    <t>Interactive Investor Intl PLC</t>
  </si>
  <si>
    <t>IINV</t>
  </si>
  <si>
    <t>457955102</t>
  </si>
  <si>
    <t>IINV US</t>
  </si>
  <si>
    <t>Interactive Investor Trading L</t>
  </si>
  <si>
    <t>Apropos Technology Inc</t>
  </si>
  <si>
    <t>APRS</t>
  </si>
  <si>
    <t>038334108</t>
  </si>
  <si>
    <t>2000-02-17</t>
  </si>
  <si>
    <t>APROPOS TECHNOLOGY INC</t>
  </si>
  <si>
    <t>Gigamedia Ltd</t>
  </si>
  <si>
    <t>GIGM</t>
  </si>
  <si>
    <t>Y2711Y104</t>
  </si>
  <si>
    <t>GIGM US</t>
  </si>
  <si>
    <t>GigaMedia Ltd</t>
  </si>
  <si>
    <t>2000-02-18</t>
  </si>
  <si>
    <t>Inforte Corp</t>
  </si>
  <si>
    <t>INFT</t>
  </si>
  <si>
    <t>45677R107</t>
  </si>
  <si>
    <t>1638709D</t>
  </si>
  <si>
    <t>INFORTE CORP</t>
  </si>
  <si>
    <t>ESafetyWorld Inc</t>
  </si>
  <si>
    <t>SFTY</t>
  </si>
  <si>
    <t>29605M109</t>
  </si>
  <si>
    <t>Nextel Partners Inc</t>
  </si>
  <si>
    <t>NXTP</t>
  </si>
  <si>
    <t>65333F107</t>
  </si>
  <si>
    <t>2000-02-22</t>
  </si>
  <si>
    <t>1902177D</t>
  </si>
  <si>
    <t>NEXTEL PARTNERS INC -CL A</t>
  </si>
  <si>
    <t>2000-02-23</t>
  </si>
  <si>
    <t>Carrier1 International SA</t>
  </si>
  <si>
    <t>CONE</t>
  </si>
  <si>
    <t>144500303</t>
  </si>
  <si>
    <t>unresolved (ticker recycled)</t>
  </si>
  <si>
    <t>Digitalthink Inc</t>
  </si>
  <si>
    <t>DTHK</t>
  </si>
  <si>
    <t>25388M100</t>
  </si>
  <si>
    <t>2000-02-24</t>
  </si>
  <si>
    <t>DIGITALTHINK INC</t>
  </si>
  <si>
    <t>Intersil Holding Corp</t>
  </si>
  <si>
    <t>ISIL</t>
  </si>
  <si>
    <t>46069S109</t>
  </si>
  <si>
    <t>RENESAS ELECTRONICS AMERICA</t>
  </si>
  <si>
    <t>2000-02-25</t>
  </si>
  <si>
    <t>Hotel Reservations Network Inc</t>
  </si>
  <si>
    <t>ROOM</t>
  </si>
  <si>
    <t>441451101</t>
  </si>
  <si>
    <t>3518429Q</t>
  </si>
  <si>
    <t>HOTELS.COM-CL A</t>
  </si>
  <si>
    <t>Avenue A Inc</t>
  </si>
  <si>
    <t>AVEA</t>
  </si>
  <si>
    <t>053566105</t>
  </si>
  <si>
    <t>2000-02-28</t>
  </si>
  <si>
    <t>Niku Corp</t>
  </si>
  <si>
    <t>NIKU</t>
  </si>
  <si>
    <t>654113109</t>
  </si>
  <si>
    <t>NIKU CORP</t>
  </si>
  <si>
    <t>net.Genesis Corp</t>
  </si>
  <si>
    <t>NTGX</t>
  </si>
  <si>
    <t>64107E107</t>
  </si>
  <si>
    <t>2000-02-29</t>
  </si>
  <si>
    <t>NET.GENESIS CORP</t>
  </si>
  <si>
    <t>Onvia.com Inc</t>
  </si>
  <si>
    <t>ONVI</t>
  </si>
  <si>
    <t>68338T106</t>
  </si>
  <si>
    <t>ONVIA INC</t>
  </si>
  <si>
    <t>MatrixOne Inc</t>
  </si>
  <si>
    <t>MONE</t>
  </si>
  <si>
    <t>57685P304</t>
  </si>
  <si>
    <t>2000-03-01</t>
  </si>
  <si>
    <t>984185Q</t>
  </si>
  <si>
    <t>MATRIXONE INC</t>
  </si>
  <si>
    <t>Palm Inc(3Com Corp)</t>
  </si>
  <si>
    <t>PALM</t>
  </si>
  <si>
    <t>696642107</t>
  </si>
  <si>
    <t>PALM INC</t>
  </si>
  <si>
    <t>Switchboard Inc</t>
  </si>
  <si>
    <t>SWBD</t>
  </si>
  <si>
    <t>871045100</t>
  </si>
  <si>
    <t>2000-03-02</t>
  </si>
  <si>
    <t>SWITCHBOARD INC</t>
  </si>
  <si>
    <t>Register.com Inc</t>
  </si>
  <si>
    <t>RCOM</t>
  </si>
  <si>
    <t>75914G101</t>
  </si>
  <si>
    <t>1435766D</t>
  </si>
  <si>
    <t>REGISTER.COM INC</t>
  </si>
  <si>
    <t>UTStarcom Inc</t>
  </si>
  <si>
    <t>UTSI</t>
  </si>
  <si>
    <t>918076100</t>
  </si>
  <si>
    <t>UTSI US</t>
  </si>
  <si>
    <t>UTStarcom Holdings Corp</t>
  </si>
  <si>
    <t>AsiaInfo Holdings Inc</t>
  </si>
  <si>
    <t>ASIA</t>
  </si>
  <si>
    <t>04518A104</t>
  </si>
  <si>
    <t>Prime Response Inc</t>
  </si>
  <si>
    <t>PRME</t>
  </si>
  <si>
    <t>74158B100</t>
  </si>
  <si>
    <t>377089Q</t>
  </si>
  <si>
    <t>PRIME RESPONSE INC</t>
  </si>
  <si>
    <t>Versata Inc</t>
  </si>
  <si>
    <t>VATA</t>
  </si>
  <si>
    <t>925298101</t>
  </si>
  <si>
    <t>2000-03-03</t>
  </si>
  <si>
    <t>VERSATA INC</t>
  </si>
  <si>
    <t>Crayfish Co Ltd</t>
  </si>
  <si>
    <t>CRFH</t>
  </si>
  <si>
    <t>225226208</t>
  </si>
  <si>
    <t>2000-03-06</t>
  </si>
  <si>
    <t>CRFH US</t>
  </si>
  <si>
    <t>e-machitown Co Ltd</t>
  </si>
  <si>
    <t>2000-03-08</t>
  </si>
  <si>
    <t>IFCO Systems NV</t>
  </si>
  <si>
    <t>IFE</t>
  </si>
  <si>
    <t>N43961106</t>
  </si>
  <si>
    <t>not found in Bloomberg + plug estimate</t>
  </si>
  <si>
    <t>Net 2000 Communications Inc</t>
  </si>
  <si>
    <t>NTKK</t>
  </si>
  <si>
    <t>64122G103</t>
  </si>
  <si>
    <t>NTKKQ</t>
  </si>
  <si>
    <t>NET2000 COMMUNICATIONS INC</t>
  </si>
  <si>
    <t>FirstWorld Communications Inc</t>
  </si>
  <si>
    <t>FWIS</t>
  </si>
  <si>
    <t>337625305</t>
  </si>
  <si>
    <t>2000-03-07</t>
  </si>
  <si>
    <t>VRDOQ</t>
  </si>
  <si>
    <t>VERADO HOLDINGS INC-B</t>
  </si>
  <si>
    <t>iprint.com Inc</t>
  </si>
  <si>
    <t>IPRT</t>
  </si>
  <si>
    <t>462628108</t>
  </si>
  <si>
    <t>IPRINT TECHNOLOGIES INC</t>
  </si>
  <si>
    <t>New China Homes Ltd</t>
  </si>
  <si>
    <t>CHOM</t>
  </si>
  <si>
    <t>G6445R103</t>
  </si>
  <si>
    <t>CHOM US</t>
  </si>
  <si>
    <t>Chisholm Resources Inc/Nevada</t>
  </si>
  <si>
    <t>Riverdeep Interactive Learning</t>
  </si>
  <si>
    <t>RVDP</t>
  </si>
  <si>
    <t>76870Q109</t>
  </si>
  <si>
    <t>2000-03-09</t>
  </si>
  <si>
    <t>RVDP US</t>
  </si>
  <si>
    <t>Riverdeep Group Ltd</t>
  </si>
  <si>
    <t>OraPharma Inc</t>
  </si>
  <si>
    <t>OPHM</t>
  </si>
  <si>
    <t>68554E106</t>
  </si>
  <si>
    <t>ORAPHARMA INC</t>
  </si>
  <si>
    <t>Selectica Inc</t>
  </si>
  <si>
    <t>SLTC</t>
  </si>
  <si>
    <t>816288104</t>
  </si>
  <si>
    <t>DTRM</t>
  </si>
  <si>
    <t>DETERMINE INC</t>
  </si>
  <si>
    <t>GT Group Telecom Inc</t>
  </si>
  <si>
    <t>GTTLO</t>
  </si>
  <si>
    <t>362359408</t>
  </si>
  <si>
    <t>HomeGrocer.com</t>
  </si>
  <si>
    <t>HOMG</t>
  </si>
  <si>
    <t>43740K100</t>
  </si>
  <si>
    <t>HOMEGROCER.COM INC</t>
  </si>
  <si>
    <t>OTG Software Inc</t>
  </si>
  <si>
    <t>OTGS</t>
  </si>
  <si>
    <t>671059103</t>
  </si>
  <si>
    <t>2000-03-10</t>
  </si>
  <si>
    <t>OTG SOFTWARE INC</t>
  </si>
  <si>
    <t>SUNDAY Communications Ltd</t>
  </si>
  <si>
    <t>SDAY</t>
  </si>
  <si>
    <t>867270100</t>
  </si>
  <si>
    <t>SDAY US</t>
  </si>
  <si>
    <t>Digitas Inc</t>
  </si>
  <si>
    <t>DTAS</t>
  </si>
  <si>
    <t>25388K104</t>
  </si>
  <si>
    <t>2000-03-13</t>
  </si>
  <si>
    <t>3023927Q</t>
  </si>
  <si>
    <t>DIGITAS INC</t>
  </si>
  <si>
    <t>FairMarket Inc</t>
  </si>
  <si>
    <t>FAIM</t>
  </si>
  <si>
    <t>305158107</t>
  </si>
  <si>
    <t>CSTI</t>
  </si>
  <si>
    <t>COSTAR TECHNOLOGIES INC</t>
  </si>
  <si>
    <t>Infineon Technologies AG</t>
  </si>
  <si>
    <t>IFX</t>
  </si>
  <si>
    <t>45662N103</t>
  </si>
  <si>
    <t>IFX US</t>
  </si>
  <si>
    <t>Global offering</t>
  </si>
  <si>
    <t>EE Times 3/13/2000; press consensus $5.2B; 174M shs @ EUR35, Frankfurt+NYSE</t>
  </si>
  <si>
    <t>RADVision Ltd</t>
  </si>
  <si>
    <t>RVSN</t>
  </si>
  <si>
    <t>M81869105</t>
  </si>
  <si>
    <t>Lastminute.com</t>
  </si>
  <si>
    <t>LMIN</t>
  </si>
  <si>
    <t>518129101</t>
  </si>
  <si>
    <t>2000-03-14</t>
  </si>
  <si>
    <t>LMIN US</t>
  </si>
  <si>
    <t>Laser Holdings Ltd</t>
  </si>
  <si>
    <t>ImproveNet Inc</t>
  </si>
  <si>
    <t>IMPV</t>
  </si>
  <si>
    <t>45321E106</t>
  </si>
  <si>
    <t>2000-03-15</t>
  </si>
  <si>
    <t>8766227Q</t>
  </si>
  <si>
    <t>IMPROVENET INC</t>
  </si>
  <si>
    <t>Loudeye Technologies Inc</t>
  </si>
  <si>
    <t>LOUD</t>
  </si>
  <si>
    <t>545754103</t>
  </si>
  <si>
    <t>LOUDEYE CORP</t>
  </si>
  <si>
    <t>Shochet Holding Corp</t>
  </si>
  <si>
    <t>SHOC</t>
  </si>
  <si>
    <t>82488Q101</t>
  </si>
  <si>
    <t>Tele1 Europe Holding AB</t>
  </si>
  <si>
    <t>TEUR</t>
  </si>
  <si>
    <t>87944T201</t>
  </si>
  <si>
    <t>TEUR US</t>
  </si>
  <si>
    <t>TDC Nordic AB</t>
  </si>
  <si>
    <t>PSi Technologies Inc</t>
  </si>
  <si>
    <t>PSIT</t>
  </si>
  <si>
    <t>74438Q109</t>
  </si>
  <si>
    <t>2000-03-16</t>
  </si>
  <si>
    <t>PSIT US</t>
  </si>
  <si>
    <t>PSI Technologies Holdings Inc</t>
  </si>
  <si>
    <t>Universal Access Inc</t>
  </si>
  <si>
    <t>UAXS</t>
  </si>
  <si>
    <t>913363107</t>
  </si>
  <si>
    <t>UAXSQ</t>
  </si>
  <si>
    <t>UNIVERSAL ACCESS GLOBAL</t>
  </si>
  <si>
    <t>Netpliance Inc</t>
  </si>
  <si>
    <t>NPLI</t>
  </si>
  <si>
    <t>64115K103</t>
  </si>
  <si>
    <t>2000-03-17</t>
  </si>
  <si>
    <t>NPLI US</t>
  </si>
  <si>
    <t>UNR Holdings Inc</t>
  </si>
  <si>
    <t>Integrated Information Systems</t>
  </si>
  <si>
    <t>IISX</t>
  </si>
  <si>
    <t>45817B103</t>
  </si>
  <si>
    <t>INTEGRATED INFORMATION SYS</t>
  </si>
  <si>
    <t>Snowball.com Inc</t>
  </si>
  <si>
    <t>SNOW</t>
  </si>
  <si>
    <t>83335R102</t>
  </si>
  <si>
    <t>2000-03-20</t>
  </si>
  <si>
    <t>Aclara Biosciences Inc</t>
  </si>
  <si>
    <t>ACLA</t>
  </si>
  <si>
    <t>00461P106</t>
  </si>
  <si>
    <t>2000-03-21</t>
  </si>
  <si>
    <t>ACLARA BIOSCIENCES INC</t>
  </si>
  <si>
    <t>Caldera Systems Inc</t>
  </si>
  <si>
    <t>CALD</t>
  </si>
  <si>
    <t>128780103</t>
  </si>
  <si>
    <t>Blaze Software Inc</t>
  </si>
  <si>
    <t>BLZE</t>
  </si>
  <si>
    <t>09347T109</t>
  </si>
  <si>
    <t>2000-03-22</t>
  </si>
  <si>
    <t>1008517Q</t>
  </si>
  <si>
    <t>BLAZE SOFTWARE INC</t>
  </si>
  <si>
    <t>2000-03-23</t>
  </si>
  <si>
    <t>BreezeCOM Inc</t>
  </si>
  <si>
    <t>BRZE</t>
  </si>
  <si>
    <t>M20385106</t>
  </si>
  <si>
    <t>inSilicon Corp</t>
  </si>
  <si>
    <t>INSN</t>
  </si>
  <si>
    <t>45769H108</t>
  </si>
  <si>
    <t>366210Q</t>
  </si>
  <si>
    <t>INSILICON CORP</t>
  </si>
  <si>
    <t>Partsbase.com Inc</t>
  </si>
  <si>
    <t>PRTS</t>
  </si>
  <si>
    <t>70214P109</t>
  </si>
  <si>
    <t>833554Q</t>
  </si>
  <si>
    <t>PARTSBASE INC</t>
  </si>
  <si>
    <t>Silicon Laboratories Inc</t>
  </si>
  <si>
    <t>SLAB</t>
  </si>
  <si>
    <t>826919102</t>
  </si>
  <si>
    <t>SILICON LABORATORIES INC</t>
  </si>
  <si>
    <t>2000-03-24</t>
  </si>
  <si>
    <t>Sun Life Finl Svcs of Canada</t>
  </si>
  <si>
    <t>SLC</t>
  </si>
  <si>
    <t>866796105</t>
  </si>
  <si>
    <t>Viasystems Group</t>
  </si>
  <si>
    <t>VG</t>
  </si>
  <si>
    <t>92553H100</t>
  </si>
  <si>
    <t>VSGIQ</t>
  </si>
  <si>
    <t>VIASYSTEMS GROUP INC/OLD</t>
  </si>
  <si>
    <t>Intermune Pharmaceuticals Inc</t>
  </si>
  <si>
    <t>ITMN</t>
  </si>
  <si>
    <t>45885B100</t>
  </si>
  <si>
    <t>INTERMUNE INC</t>
  </si>
  <si>
    <t>ETINUUM INC</t>
  </si>
  <si>
    <t>ETIN</t>
  </si>
  <si>
    <t>297664104</t>
  </si>
  <si>
    <t>DGLHQ</t>
  </si>
  <si>
    <t>DIGITAL LIGHTHOUSE CORP</t>
  </si>
  <si>
    <t>e Machines Inc</t>
  </si>
  <si>
    <t>EEEE</t>
  </si>
  <si>
    <t>29076P102</t>
  </si>
  <si>
    <t>334454Q</t>
  </si>
  <si>
    <t>E-MACHINES LLC</t>
  </si>
  <si>
    <t>Eprise Corp</t>
  </si>
  <si>
    <t>EPRS</t>
  </si>
  <si>
    <t>294352109</t>
  </si>
  <si>
    <t>370240Q</t>
  </si>
  <si>
    <t>EPRISE CORP</t>
  </si>
  <si>
    <t>Allos Therapeutics Inc</t>
  </si>
  <si>
    <t>ALTH</t>
  </si>
  <si>
    <t>019777101</t>
  </si>
  <si>
    <t>2000-03-27</t>
  </si>
  <si>
    <t>ALLOS THERAPEUTICS INC</t>
  </si>
  <si>
    <t>2000-03-28</t>
  </si>
  <si>
    <t>ARTISTdirect Inc</t>
  </si>
  <si>
    <t>ARTD</t>
  </si>
  <si>
    <t>04315D103</t>
  </si>
  <si>
    <t>ARTISTDIRECT INC</t>
  </si>
  <si>
    <t>Comple Tel Europe NV</t>
  </si>
  <si>
    <t>CLTL</t>
  </si>
  <si>
    <t>N21590109</t>
  </si>
  <si>
    <t>CLTL US</t>
  </si>
  <si>
    <t>Invesco Short Term Treasury ET</t>
  </si>
  <si>
    <t>IntraBiotics Pharmaceuticals</t>
  </si>
  <si>
    <t>IBPI</t>
  </si>
  <si>
    <t>46116T100</t>
  </si>
  <si>
    <t>RDEA</t>
  </si>
  <si>
    <t>ARDEA BIOSCIENCES INC</t>
  </si>
  <si>
    <t>Moldflow Corp</t>
  </si>
  <si>
    <t>MFLO</t>
  </si>
  <si>
    <t>608507109</t>
  </si>
  <si>
    <t>MOLDFLOW CORP</t>
  </si>
  <si>
    <t>Websense Inc</t>
  </si>
  <si>
    <t>WBSN</t>
  </si>
  <si>
    <t>947684106</t>
  </si>
  <si>
    <t>WEBSENSE INC</t>
  </si>
  <si>
    <t>MVC Capital</t>
  </si>
  <si>
    <t>MVC</t>
  </si>
  <si>
    <t>55271E105</t>
  </si>
  <si>
    <t>MVC US</t>
  </si>
  <si>
    <t>MVC Capital Inc</t>
  </si>
  <si>
    <t>Telocity Delaware Inc</t>
  </si>
  <si>
    <t>TLCT</t>
  </si>
  <si>
    <t>87971D103</t>
  </si>
  <si>
    <t>DIRECTV BROADBAND INC</t>
  </si>
  <si>
    <t>2000-03-29</t>
  </si>
  <si>
    <t>Bio Aqua Systems Inc</t>
  </si>
  <si>
    <t>SEA</t>
  </si>
  <si>
    <t>090556101</t>
  </si>
  <si>
    <t>Trader.com (Hebdo Mag Europe)</t>
  </si>
  <si>
    <t>TRDR</t>
  </si>
  <si>
    <t>89254T102</t>
  </si>
  <si>
    <t>2000-03-30</t>
  </si>
  <si>
    <t>TRDR US</t>
  </si>
  <si>
    <t>Trader Classified Media NV</t>
  </si>
  <si>
    <t>Valueclick Inc</t>
  </si>
  <si>
    <t>VCLK</t>
  </si>
  <si>
    <t>92046N102</t>
  </si>
  <si>
    <t>CNVR</t>
  </si>
  <si>
    <t>CONVERSANT INC</t>
  </si>
  <si>
    <t>Luminex Corp</t>
  </si>
  <si>
    <t>LMNX</t>
  </si>
  <si>
    <t>55027E102</t>
  </si>
  <si>
    <t>2599359D</t>
  </si>
  <si>
    <t>LUMINEX CORP</t>
  </si>
  <si>
    <t>Imageware Systems Inc</t>
  </si>
  <si>
    <t>IW</t>
  </si>
  <si>
    <t>45245S207</t>
  </si>
  <si>
    <t>IW US</t>
  </si>
  <si>
    <t>ImageWare Systems Inc</t>
  </si>
  <si>
    <t>ArrowPoint Communications Inc</t>
  </si>
  <si>
    <t>ARPT</t>
  </si>
  <si>
    <t>042810101</t>
  </si>
  <si>
    <t>ARROWPOINT COMMUNICATIONS</t>
  </si>
  <si>
    <t>2000-03-31</t>
  </si>
  <si>
    <t>PetroChina</t>
  </si>
  <si>
    <t>PTR</t>
  </si>
  <si>
    <t>71646E100</t>
  </si>
  <si>
    <t>PTR US</t>
  </si>
  <si>
    <t>PetroChina Co Ltd</t>
  </si>
  <si>
    <t>2000-04-06</t>
  </si>
  <si>
    <t>Goldman Sachs history; IFR: $2.89B HK+NYSE</t>
  </si>
  <si>
    <t>Cabot Microelectronics Corp</t>
  </si>
  <si>
    <t>CCMP</t>
  </si>
  <si>
    <t>12709P103</t>
  </si>
  <si>
    <t>2000-04-04</t>
  </si>
  <si>
    <t>CMC MATERIALS LLC</t>
  </si>
  <si>
    <t>Krispy Kreme Doughnuts Inc</t>
  </si>
  <si>
    <t>KREM</t>
  </si>
  <si>
    <t>501014104</t>
  </si>
  <si>
    <t>KKD</t>
  </si>
  <si>
    <t>KRISPY KREME DOUGHNUTS INC</t>
  </si>
  <si>
    <t>Oratec Interventions Inc</t>
  </si>
  <si>
    <t>OTEC</t>
  </si>
  <si>
    <t>68554M108</t>
  </si>
  <si>
    <t>1886994D</t>
  </si>
  <si>
    <t>ORATEC INTERVENTIONS INC</t>
  </si>
  <si>
    <t>Ulticom Inc</t>
  </si>
  <si>
    <t>ULCM</t>
  </si>
  <si>
    <t>903844108</t>
  </si>
  <si>
    <t>ULTICOM INC</t>
  </si>
  <si>
    <t>2000-04-05</t>
  </si>
  <si>
    <t>Vyyo Inc</t>
  </si>
  <si>
    <t>VYYO</t>
  </si>
  <si>
    <t>918458100</t>
  </si>
  <si>
    <t>JAVELIN INNOVATIONS INC</t>
  </si>
  <si>
    <t>Metropolitan Life Insurance Co</t>
  </si>
  <si>
    <t>MET</t>
  </si>
  <si>
    <t>59156R108</t>
  </si>
  <si>
    <t>METLIFE INC</t>
  </si>
  <si>
    <t>Saba Software Inc</t>
  </si>
  <si>
    <t>SABA</t>
  </si>
  <si>
    <t>784932105</t>
  </si>
  <si>
    <t>2347450D</t>
  </si>
  <si>
    <t>SABA SOFTWARE INC</t>
  </si>
  <si>
    <t>2000-04-07</t>
  </si>
  <si>
    <t>Tanox Inc</t>
  </si>
  <si>
    <t>TNOX</t>
  </si>
  <si>
    <t>87588Q109</t>
  </si>
  <si>
    <t>TANOX INC</t>
  </si>
  <si>
    <t>Sangamo BioScience Inc</t>
  </si>
  <si>
    <t>SGMO</t>
  </si>
  <si>
    <t>800677106</t>
  </si>
  <si>
    <t>SGMOQ</t>
  </si>
  <si>
    <t>SANGAMO THERAPEUTICS INC</t>
  </si>
  <si>
    <t>i3 Mobile Inc</t>
  </si>
  <si>
    <t>IIIM</t>
  </si>
  <si>
    <t>465713105</t>
  </si>
  <si>
    <t>I3 MOBILE INC</t>
  </si>
  <si>
    <t>GoAmerica Inc</t>
  </si>
  <si>
    <t>GOAM</t>
  </si>
  <si>
    <t>38020R106</t>
  </si>
  <si>
    <t>1574849D</t>
  </si>
  <si>
    <t>PURPLE COMMUNICATIONS INC</t>
  </si>
  <si>
    <t>LivePerson Inc</t>
  </si>
  <si>
    <t>LPSN</t>
  </si>
  <si>
    <t>538146101</t>
  </si>
  <si>
    <t>LIVEPERSON INC</t>
  </si>
  <si>
    <t>Lexicon Genetics Inc</t>
  </si>
  <si>
    <t>LEXG</t>
  </si>
  <si>
    <t>528872104</t>
  </si>
  <si>
    <t>LXRX</t>
  </si>
  <si>
    <t>LEXICON PHARMACEUTICALS INC</t>
  </si>
  <si>
    <t>Numerical Technologies Inc</t>
  </si>
  <si>
    <t>NMTC</t>
  </si>
  <si>
    <t>67053T101</t>
  </si>
  <si>
    <t>1529158D</t>
  </si>
  <si>
    <t>NUMERICAL TECHNOLOGIES INC</t>
  </si>
  <si>
    <t>Opus360 Corp</t>
  </si>
  <si>
    <t>OPUS</t>
  </si>
  <si>
    <t>68400F109</t>
  </si>
  <si>
    <t>Nova Measuring Instruments</t>
  </si>
  <si>
    <t>NVMI</t>
  </si>
  <si>
    <t>M7516K103</t>
  </si>
  <si>
    <t>2000-04-10</t>
  </si>
  <si>
    <t>NVMI US</t>
  </si>
  <si>
    <t>Nova Ltd</t>
  </si>
  <si>
    <t>2000-04-11</t>
  </si>
  <si>
    <t>Exelixis Inc</t>
  </si>
  <si>
    <t>EXEL</t>
  </si>
  <si>
    <t>30161Q104</t>
  </si>
  <si>
    <t>EXELIXIS INC</t>
  </si>
  <si>
    <t>Bookham Technology PLC</t>
  </si>
  <si>
    <t>BKHM</t>
  </si>
  <si>
    <t>09856Q108</t>
  </si>
  <si>
    <t>BKHM US</t>
  </si>
  <si>
    <t>Oclaro Inc</t>
  </si>
  <si>
    <t>DDi Corp</t>
  </si>
  <si>
    <t>DDIC</t>
  </si>
  <si>
    <t>233162106</t>
  </si>
  <si>
    <t>DDICQ</t>
  </si>
  <si>
    <t>DDI CORP /CA</t>
  </si>
  <si>
    <t>Asiacontent.com Ltd</t>
  </si>
  <si>
    <t>IASIA</t>
  </si>
  <si>
    <t>G05354108</t>
  </si>
  <si>
    <t>IASIA US</t>
  </si>
  <si>
    <t>Asiacontent.com</t>
  </si>
  <si>
    <t>HealthStream Inc</t>
  </si>
  <si>
    <t>HSTM</t>
  </si>
  <si>
    <t>42222N103</t>
  </si>
  <si>
    <t>HEALTHSTREAM INC</t>
  </si>
  <si>
    <t>Nuance Communications Inc</t>
  </si>
  <si>
    <t>NUAN</t>
  </si>
  <si>
    <t>669967101</t>
  </si>
  <si>
    <t>2000-04-12</t>
  </si>
  <si>
    <t>652404Q</t>
  </si>
  <si>
    <t>NUANCE COMMUNICATIONS-OLD</t>
  </si>
  <si>
    <t>2000-04-13</t>
  </si>
  <si>
    <t>Corillian Corp</t>
  </si>
  <si>
    <t>CORI</t>
  </si>
  <si>
    <t>218725109</t>
  </si>
  <si>
    <t>0959089D</t>
  </si>
  <si>
    <t>CORILLIAN CORP</t>
  </si>
  <si>
    <t>Sina.com</t>
  </si>
  <si>
    <t>SINA</t>
  </si>
  <si>
    <t>G81477104</t>
  </si>
  <si>
    <t>SINA US</t>
  </si>
  <si>
    <t>SINA Corp/China</t>
  </si>
  <si>
    <t>Votorantim Celulose e Papel SA</t>
  </si>
  <si>
    <t>VCP</t>
  </si>
  <si>
    <t>92906P106</t>
  </si>
  <si>
    <t>VCP US</t>
  </si>
  <si>
    <t>Fibria Celulose S/A</t>
  </si>
  <si>
    <t>QS Communications AG</t>
  </si>
  <si>
    <t>QSCG</t>
  </si>
  <si>
    <t>74727G101</t>
  </si>
  <si>
    <t>2000-04-18</t>
  </si>
  <si>
    <t>QSCG US</t>
  </si>
  <si>
    <t>Q Beyond Ag Konv Namens Aktien</t>
  </si>
  <si>
    <t>2000-04-19</t>
  </si>
  <si>
    <t>360networks Inc</t>
  </si>
  <si>
    <t>TSIX</t>
  </si>
  <si>
    <t>88575T205</t>
  </si>
  <si>
    <t>TSIX US</t>
  </si>
  <si>
    <t>360 Global Wine Co Inc</t>
  </si>
  <si>
    <t>Embarcadero Technologies Inc</t>
  </si>
  <si>
    <t>EMBT</t>
  </si>
  <si>
    <t>290787100</t>
  </si>
  <si>
    <t>1379842D</t>
  </si>
  <si>
    <t>EMBARCADERO TECHNOLOGIES INC</t>
  </si>
  <si>
    <t>2000-04-20</t>
  </si>
  <si>
    <t>Packard BioScience Co</t>
  </si>
  <si>
    <t>PBSC</t>
  </si>
  <si>
    <t>695172205</t>
  </si>
  <si>
    <t>2663075D</t>
  </si>
  <si>
    <t>PACKARD BIOSCIENCE CO</t>
  </si>
  <si>
    <t>PEC Solutions Inc</t>
  </si>
  <si>
    <t>PECS</t>
  </si>
  <si>
    <t>705107100</t>
  </si>
  <si>
    <t>PEC SOLUTIONS INC</t>
  </si>
  <si>
    <t>Rockford Corp</t>
  </si>
  <si>
    <t>ROFO</t>
  </si>
  <si>
    <t>77316P101</t>
  </si>
  <si>
    <t>ROCKFORD CORPORATION</t>
  </si>
  <si>
    <t>Metawave Communications</t>
  </si>
  <si>
    <t>MTWV</t>
  </si>
  <si>
    <t>591409107</t>
  </si>
  <si>
    <t>2000-04-26</t>
  </si>
  <si>
    <t>MTWVQ</t>
  </si>
  <si>
    <t>METAWAVE COMUNICATIONS CORP</t>
  </si>
  <si>
    <t>2000-04-27</t>
  </si>
  <si>
    <t>Praecis Pharmaceuticals Inc</t>
  </si>
  <si>
    <t>PRCS</t>
  </si>
  <si>
    <t>739421105</t>
  </si>
  <si>
    <t>2521572D</t>
  </si>
  <si>
    <t>PRAECIS PHARMACEUTICALS INC</t>
  </si>
  <si>
    <t>Stratus Services Group Inc</t>
  </si>
  <si>
    <t>SERV</t>
  </si>
  <si>
    <t>863170106</t>
  </si>
  <si>
    <t>SSVG</t>
  </si>
  <si>
    <t>STRATUS SERVICES GROUP INC</t>
  </si>
  <si>
    <t>AT&amp;T Wireless Group</t>
  </si>
  <si>
    <t>AWE</t>
  </si>
  <si>
    <t>001957406</t>
  </si>
  <si>
    <t>NEW CINGULAR WIRELESS SERVIC</t>
  </si>
  <si>
    <t>ON Semiconductor</t>
  </si>
  <si>
    <t>ONNN</t>
  </si>
  <si>
    <t>783884109</t>
  </si>
  <si>
    <t>ON</t>
  </si>
  <si>
    <t>ON SEMICONDUCTOR</t>
  </si>
  <si>
    <t>2000-04-28</t>
  </si>
  <si>
    <t>Software Technologies Corp</t>
  </si>
  <si>
    <t>STCS</t>
  </si>
  <si>
    <t>834040107</t>
  </si>
  <si>
    <t>STCS US</t>
  </si>
  <si>
    <t>Sterling Infrastructure Inc</t>
  </si>
  <si>
    <t>Sonic Innovations Inc</t>
  </si>
  <si>
    <t>SNCI</t>
  </si>
  <si>
    <t>83545M109</t>
  </si>
  <si>
    <t>2000-05-01</t>
  </si>
  <si>
    <t>OTIX</t>
  </si>
  <si>
    <t>OTIX GLOBAL INC</t>
  </si>
  <si>
    <t>2000-05-02</t>
  </si>
  <si>
    <t>Virologic Inc</t>
  </si>
  <si>
    <t>VLGC</t>
  </si>
  <si>
    <t>92823R201</t>
  </si>
  <si>
    <t>2261249D</t>
  </si>
  <si>
    <t>MONOGRAM BIOSCIENCES INC</t>
  </si>
  <si>
    <t>WHEREVER.net Holdings Corp</t>
  </si>
  <si>
    <t>WNET</t>
  </si>
  <si>
    <t>96328M104</t>
  </si>
  <si>
    <t>WNET US</t>
  </si>
  <si>
    <t>WHEREVER.net Holding Corp</t>
  </si>
  <si>
    <t>Crown Media Holdings Inc</t>
  </si>
  <si>
    <t>CRWN</t>
  </si>
  <si>
    <t>228411104</t>
  </si>
  <si>
    <t>2000-05-03</t>
  </si>
  <si>
    <t>CROWN MEDIA HOLDINGS-CLASS A</t>
  </si>
  <si>
    <t>2000-05-04</t>
  </si>
  <si>
    <t>Orchid BioSciences Inc</t>
  </si>
  <si>
    <t>ORCH</t>
  </si>
  <si>
    <t>68571P100</t>
  </si>
  <si>
    <t>ORCHID CELLMARK INC</t>
  </si>
  <si>
    <t>2000-05-05</t>
  </si>
  <si>
    <t>Genomic Solutions Inc</t>
  </si>
  <si>
    <t>GNSL</t>
  </si>
  <si>
    <t>37243R109</t>
  </si>
  <si>
    <t>GENOMIC SOLUTIONS</t>
  </si>
  <si>
    <t>Paradigm Genetics Inc</t>
  </si>
  <si>
    <t>PDGM</t>
  </si>
  <si>
    <t>69900R106</t>
  </si>
  <si>
    <t>PDGM US</t>
  </si>
  <si>
    <t>Paradigm Ltd/Cayman Islands</t>
  </si>
  <si>
    <t>Sequoia Software Corp</t>
  </si>
  <si>
    <t>SQSW</t>
  </si>
  <si>
    <t>817439102</t>
  </si>
  <si>
    <t>2000-05-12</t>
  </si>
  <si>
    <t>SEQUOIA SOFTWARE CORP</t>
  </si>
  <si>
    <t>iBeam Broadcasting Corp</t>
  </si>
  <si>
    <t>IBEM</t>
  </si>
  <si>
    <t>45073P101</t>
  </si>
  <si>
    <t>2000-05-17</t>
  </si>
  <si>
    <t>IBEMQ</t>
  </si>
  <si>
    <t>IBEAM BROADCASTING CORP</t>
  </si>
  <si>
    <t>2000-05-18</t>
  </si>
  <si>
    <t>New Focus Inc</t>
  </si>
  <si>
    <t>NUFO</t>
  </si>
  <si>
    <t>644383101</t>
  </si>
  <si>
    <t>OCLARO PHOTONICS INC</t>
  </si>
  <si>
    <t>US Unwired Inc</t>
  </si>
  <si>
    <t>UNWR</t>
  </si>
  <si>
    <t>90338R104</t>
  </si>
  <si>
    <t>US UNWIRED INC</t>
  </si>
  <si>
    <t>Nogatech Inc</t>
  </si>
  <si>
    <t>NGTC</t>
  </si>
  <si>
    <t>654919109</t>
  </si>
  <si>
    <t>NOGATECH INC</t>
  </si>
  <si>
    <t>Pixelworks Inc</t>
  </si>
  <si>
    <t>PXLW</t>
  </si>
  <si>
    <t>72581M107</t>
  </si>
  <si>
    <t>PIXELWORKS INC</t>
  </si>
  <si>
    <t>2000-05-19</t>
  </si>
  <si>
    <t>Parthus Technologies PLC</t>
  </si>
  <si>
    <t>PRTHV</t>
  </si>
  <si>
    <t>70211Y103</t>
  </si>
  <si>
    <t>PRTHV US</t>
  </si>
  <si>
    <t>coolsavings.com inc</t>
  </si>
  <si>
    <t>CSAV</t>
  </si>
  <si>
    <t>216485102</t>
  </si>
  <si>
    <t>COOLSAVINGS LLC</t>
  </si>
  <si>
    <t>Integrated Circuit Systems Inc</t>
  </si>
  <si>
    <t>ICST</t>
  </si>
  <si>
    <t>45811K208</t>
  </si>
  <si>
    <t>2000-05-22</t>
  </si>
  <si>
    <t>INTEGRATED CIRCUIT SYSTEMS</t>
  </si>
  <si>
    <t>2000-05-23</t>
  </si>
  <si>
    <t>Centillium Communications Inc</t>
  </si>
  <si>
    <t>CTLM</t>
  </si>
  <si>
    <t>152319109</t>
  </si>
  <si>
    <t>CENTILLIUM COMMUNICATIONS IN</t>
  </si>
  <si>
    <t>2000-05-24</t>
  </si>
  <si>
    <t>Universal Compression Holdings</t>
  </si>
  <si>
    <t>UCO</t>
  </si>
  <si>
    <t>913431102</t>
  </si>
  <si>
    <t>3109386Q</t>
  </si>
  <si>
    <t>UNIVERSAL COMPRESSION HLDGS</t>
  </si>
  <si>
    <t>Sonus Networks Inc</t>
  </si>
  <si>
    <t>SONS</t>
  </si>
  <si>
    <t>835916107</t>
  </si>
  <si>
    <t>9993333D</t>
  </si>
  <si>
    <t>SONUS INC</t>
  </si>
  <si>
    <t>2000-05-25</t>
  </si>
  <si>
    <t>Stanford Microdevices Inc</t>
  </si>
  <si>
    <t>SMDI</t>
  </si>
  <si>
    <t>854399102</t>
  </si>
  <si>
    <t>2894314Q</t>
  </si>
  <si>
    <t>SIRENZA MICRODEVICES INC</t>
  </si>
  <si>
    <t>NRG Energy Inc</t>
  </si>
  <si>
    <t>NRG</t>
  </si>
  <si>
    <t>629377102</t>
  </si>
  <si>
    <t>2000-05-30</t>
  </si>
  <si>
    <t>NRG ENERGY INC</t>
  </si>
  <si>
    <t>2000-05-31</t>
  </si>
  <si>
    <t>First Horizon Pharmaceutical</t>
  </si>
  <si>
    <t>FHRX</t>
  </si>
  <si>
    <t>32051K106</t>
  </si>
  <si>
    <t>SCRX</t>
  </si>
  <si>
    <t>SHIONOGI PHARMA INC</t>
  </si>
  <si>
    <t>ONI Systems Corp</t>
  </si>
  <si>
    <t>ONIS</t>
  </si>
  <si>
    <t>68273F103</t>
  </si>
  <si>
    <t>ONI SYSTEMS CORP</t>
  </si>
  <si>
    <t>2000-06-01</t>
  </si>
  <si>
    <t>CrossWorlds Software Inc</t>
  </si>
  <si>
    <t>CWLD</t>
  </si>
  <si>
    <t>22769P109</t>
  </si>
  <si>
    <t>CROSSWORLDS SOFTWARE INC</t>
  </si>
  <si>
    <t>Exult Inc</t>
  </si>
  <si>
    <t>EXLT</t>
  </si>
  <si>
    <t>302284104</t>
  </si>
  <si>
    <t>2000-06-02</t>
  </si>
  <si>
    <t>EXULT INC</t>
  </si>
  <si>
    <t>Ubiquitel Inc</t>
  </si>
  <si>
    <t>UPCS</t>
  </si>
  <si>
    <t>903474302</t>
  </si>
  <si>
    <t>2000-06-07</t>
  </si>
  <si>
    <t>UBIQUITEL INC</t>
  </si>
  <si>
    <t>Founders Food Firkins Ltd</t>
  </si>
  <si>
    <t>350551107</t>
  </si>
  <si>
    <t>Community Health Systems Inc</t>
  </si>
  <si>
    <t>CYH</t>
  </si>
  <si>
    <t>203668108</t>
  </si>
  <si>
    <t>2000-06-08</t>
  </si>
  <si>
    <t>COMMUNITY HEALTH SYSTEMS INC</t>
  </si>
  <si>
    <t>2000-06-09</t>
  </si>
  <si>
    <t>Take To Auction.com Inc</t>
  </si>
  <si>
    <t>TTA</t>
  </si>
  <si>
    <t>874052103</t>
  </si>
  <si>
    <t>2000-06-12</t>
  </si>
  <si>
    <t>TTA US</t>
  </si>
  <si>
    <t>Targets Trust XXI</t>
  </si>
  <si>
    <t>Intuitive Surgical Inc</t>
  </si>
  <si>
    <t>ISRG</t>
  </si>
  <si>
    <t>46120E107</t>
  </si>
  <si>
    <t>2000-06-13</t>
  </si>
  <si>
    <t>INTUITIVE SURGICAL INC</t>
  </si>
  <si>
    <t>Rediff.com India Ltd</t>
  </si>
  <si>
    <t>REDF</t>
  </si>
  <si>
    <t>757479100</t>
  </si>
  <si>
    <t>REDF US</t>
  </si>
  <si>
    <t>Rediff.Com India Ltd</t>
  </si>
  <si>
    <t>August Technology Corp</t>
  </si>
  <si>
    <t>AUGT</t>
  </si>
  <si>
    <t>05106U105</t>
  </si>
  <si>
    <t>2000-06-14</t>
  </si>
  <si>
    <t>Osca Inc(Great Lakes Chem)</t>
  </si>
  <si>
    <t>OSCA</t>
  </si>
  <si>
    <t>687836106</t>
  </si>
  <si>
    <t>OSCA INC</t>
  </si>
  <si>
    <t>2000-06-15</t>
  </si>
  <si>
    <t>Pacific Mercantile Bancorp</t>
  </si>
  <si>
    <t>PMBC</t>
  </si>
  <si>
    <t>694552100</t>
  </si>
  <si>
    <t>PMBC US</t>
  </si>
  <si>
    <t>Echapman.com Inc</t>
  </si>
  <si>
    <t>ECMN</t>
  </si>
  <si>
    <t>26830Q103</t>
  </si>
  <si>
    <t>ECHAPMAN INC</t>
  </si>
  <si>
    <t>China Unicom Ltd</t>
  </si>
  <si>
    <t>CHU</t>
  </si>
  <si>
    <t>16945R104</t>
  </si>
  <si>
    <t>2000-06-16</t>
  </si>
  <si>
    <t>CHU US</t>
  </si>
  <si>
    <t>China Unicom Hong Kong Ltd</t>
  </si>
  <si>
    <t>2000-06-21</t>
  </si>
  <si>
    <t>Press consensus $4.9B; BBG date-validated 6/21/2000</t>
  </si>
  <si>
    <t>Dendreon Corp</t>
  </si>
  <si>
    <t>DNDN</t>
  </si>
  <si>
    <t>24823Q107</t>
  </si>
  <si>
    <t>DNDNQ</t>
  </si>
  <si>
    <t>DENDREON CORP</t>
  </si>
  <si>
    <t>Handspring Inc</t>
  </si>
  <si>
    <t>HAND</t>
  </si>
  <si>
    <t>410293104</t>
  </si>
  <si>
    <t>2000-06-20</t>
  </si>
  <si>
    <t>2295243D</t>
  </si>
  <si>
    <t>HANDSPRING INC</t>
  </si>
  <si>
    <t>Cepheid</t>
  </si>
  <si>
    <t>CPHD</t>
  </si>
  <si>
    <t>15670R107</t>
  </si>
  <si>
    <t>CEPHEID</t>
  </si>
  <si>
    <t>Clicksoftware Ltd</t>
  </si>
  <si>
    <t>CKSW</t>
  </si>
  <si>
    <t>M25082104</t>
  </si>
  <si>
    <t>2000-06-22</t>
  </si>
  <si>
    <t>CKSW US</t>
  </si>
  <si>
    <t>ClickSoftware Technologies Ltd</t>
  </si>
  <si>
    <t>Accelerated Networks Inc</t>
  </si>
  <si>
    <t>ACCL</t>
  </si>
  <si>
    <t>00429P107</t>
  </si>
  <si>
    <t>OCNW</t>
  </si>
  <si>
    <t>OCCAM NETWORKS INC</t>
  </si>
  <si>
    <t>2000-06-23</t>
  </si>
  <si>
    <t>Qualstar Corp</t>
  </si>
  <si>
    <t>QBAK</t>
  </si>
  <si>
    <t>74758R109</t>
  </si>
  <si>
    <t>QUALSTAR CORP</t>
  </si>
  <si>
    <t>Charles River Labs Int Inc</t>
  </si>
  <si>
    <t>CRL</t>
  </si>
  <si>
    <t>159864107</t>
  </si>
  <si>
    <t>CHARLES RIVER LABORATORIES</t>
  </si>
  <si>
    <t>Manufacturers Services</t>
  </si>
  <si>
    <t>MSV</t>
  </si>
  <si>
    <t>565005105</t>
  </si>
  <si>
    <t>MANUFACTURERS SERVICES LTD</t>
  </si>
  <si>
    <t>Click Commerce Inc</t>
  </si>
  <si>
    <t>CKCM</t>
  </si>
  <si>
    <t>18681D109</t>
  </si>
  <si>
    <t>2000-06-26</t>
  </si>
  <si>
    <t>CLICK COMMERCE INC</t>
  </si>
  <si>
    <t>2000-06-27</t>
  </si>
  <si>
    <t>eFunds Corp</t>
  </si>
  <si>
    <t>EFDS</t>
  </si>
  <si>
    <t>28224R101</t>
  </si>
  <si>
    <t>2987544Q</t>
  </si>
  <si>
    <t>EFUNDS CORP</t>
  </si>
  <si>
    <t>Marvell Technology Group Ltd</t>
  </si>
  <si>
    <t>MRVL</t>
  </si>
  <si>
    <t>G5876H105</t>
  </si>
  <si>
    <t>9995577D</t>
  </si>
  <si>
    <t>MARVELL TECHNOLOGY GROUP LTD</t>
  </si>
  <si>
    <t>Stratos Lightwave Inc</t>
  </si>
  <si>
    <t>STLW</t>
  </si>
  <si>
    <t>863100103</t>
  </si>
  <si>
    <t>STRATOS INTERNATIONAL LLC</t>
  </si>
  <si>
    <t>BusyBox.com Inc</t>
  </si>
  <si>
    <t>BUSY</t>
  </si>
  <si>
    <t>123335101</t>
  </si>
  <si>
    <t>BUSYBOX.COM</t>
  </si>
  <si>
    <t>Genuity Inc</t>
  </si>
  <si>
    <t>GENU</t>
  </si>
  <si>
    <t>37248E103</t>
  </si>
  <si>
    <t>GENUQ</t>
  </si>
  <si>
    <t>GENUITY INC-A</t>
  </si>
  <si>
    <t>2000-06-28</t>
  </si>
  <si>
    <t>Accord Networks Ltd</t>
  </si>
  <si>
    <t>ACCD</t>
  </si>
  <si>
    <t>M01690102</t>
  </si>
  <si>
    <t>Capstone Turbine Corp</t>
  </si>
  <si>
    <t>CPST</t>
  </si>
  <si>
    <t>14067D102</t>
  </si>
  <si>
    <t>CGRNQ</t>
  </si>
  <si>
    <t>CAPSTONE GREEN ENERGY CORP</t>
  </si>
  <si>
    <t>2000-06-29</t>
  </si>
  <si>
    <t>CareScience Inc</t>
  </si>
  <si>
    <t>CARE</t>
  </si>
  <si>
    <t>141726109</t>
  </si>
  <si>
    <t>378377Q</t>
  </si>
  <si>
    <t>CARESCIENCE INC</t>
  </si>
  <si>
    <t>Virage Inc</t>
  </si>
  <si>
    <t>VRGE</t>
  </si>
  <si>
    <t>92763Q106</t>
  </si>
  <si>
    <t>2230247Q</t>
  </si>
  <si>
    <t>VIRAGE INC</t>
  </si>
  <si>
    <t>Storagenetworks Inc</t>
  </si>
  <si>
    <t>STOR</t>
  </si>
  <si>
    <t>86211E103</t>
  </si>
  <si>
    <t>1121454D</t>
  </si>
  <si>
    <t>STORAGENETWORKS INC</t>
  </si>
  <si>
    <t>Precise Software Solutions Ltd</t>
  </si>
  <si>
    <t>PRSE</t>
  </si>
  <si>
    <t>M41450103</t>
  </si>
  <si>
    <t>PRSE US</t>
  </si>
  <si>
    <t>2000-06-30</t>
  </si>
  <si>
    <t>Exfo Electro Optical</t>
  </si>
  <si>
    <t>EXFO</t>
  </si>
  <si>
    <t>302043104</t>
  </si>
  <si>
    <t>EXFO US</t>
  </si>
  <si>
    <t>EXFO Inc</t>
  </si>
  <si>
    <t>Mobile Telesystems OJSC</t>
  </si>
  <si>
    <t>MBT</t>
  </si>
  <si>
    <t>607409109</t>
  </si>
  <si>
    <t>MBT US</t>
  </si>
  <si>
    <t>Mobile TeleSystems PJSC</t>
  </si>
  <si>
    <t>Mobility Electronics Inc</t>
  </si>
  <si>
    <t>MOBE</t>
  </si>
  <si>
    <t>60741U101</t>
  </si>
  <si>
    <t>MOBE US</t>
  </si>
  <si>
    <t>Stragenics Inc</t>
  </si>
  <si>
    <t>Netease.com Inc</t>
  </si>
  <si>
    <t>NTES</t>
  </si>
  <si>
    <t>64110W102</t>
  </si>
  <si>
    <t>NTES US</t>
  </si>
  <si>
    <t>NetEase Inc</t>
  </si>
  <si>
    <t>InfoVista SA</t>
  </si>
  <si>
    <t>IVTA</t>
  </si>
  <si>
    <t>456817105</t>
  </si>
  <si>
    <t>2000-07-06</t>
  </si>
  <si>
    <t>IVTA US</t>
  </si>
  <si>
    <t>InfoVista SAS</t>
  </si>
  <si>
    <t>Axcelis Technologies Inc</t>
  </si>
  <si>
    <t>ACLS</t>
  </si>
  <si>
    <t>054540109</t>
  </si>
  <si>
    <t>2000-07-10</t>
  </si>
  <si>
    <t>AXCELIS TECHNOLOGIES INC</t>
  </si>
  <si>
    <t>2000-07-11</t>
  </si>
  <si>
    <t>Entegris Inc</t>
  </si>
  <si>
    <t>ENTG</t>
  </si>
  <si>
    <t>29362U104</t>
  </si>
  <si>
    <t>ENTEGRIS INC</t>
  </si>
  <si>
    <t>Turkcell Iletisim Hizmetleri</t>
  </si>
  <si>
    <t>TKC</t>
  </si>
  <si>
    <t>900111105</t>
  </si>
  <si>
    <t>TKC US</t>
  </si>
  <si>
    <t>Turkcell Iletisim Hizmetleri A</t>
  </si>
  <si>
    <t>Divine Interventures Inc</t>
  </si>
  <si>
    <t>DVIN</t>
  </si>
  <si>
    <t>255404105</t>
  </si>
  <si>
    <t>ASAT Holdings Ltd</t>
  </si>
  <si>
    <t>ASTT</t>
  </si>
  <si>
    <t>00208B105</t>
  </si>
  <si>
    <t>Triton Network Systems Inc</t>
  </si>
  <si>
    <t>TNSI</t>
  </si>
  <si>
    <t>896775103</t>
  </si>
  <si>
    <t>2000-07-12</t>
  </si>
  <si>
    <t>TNSIZ</t>
  </si>
  <si>
    <t>TRITON NETWORK SYSTE-DUE BIL</t>
  </si>
  <si>
    <t>2000-07-13</t>
  </si>
  <si>
    <t>Sohu.com Inc</t>
  </si>
  <si>
    <t>SOHU</t>
  </si>
  <si>
    <t>83408W103</t>
  </si>
  <si>
    <t>Sunrise Telecom Inc</t>
  </si>
  <si>
    <t>SRTI</t>
  </si>
  <si>
    <t>86769Y105</t>
  </si>
  <si>
    <t>SRTI BLOCKCHAIN GENERATION I</t>
  </si>
  <si>
    <t>I Many Inc</t>
  </si>
  <si>
    <t>IMNY</t>
  </si>
  <si>
    <t>44973Q103</t>
  </si>
  <si>
    <t>REVITAS INC</t>
  </si>
  <si>
    <t>Network Engines Inc</t>
  </si>
  <si>
    <t>NENG</t>
  </si>
  <si>
    <t>64121A107</t>
  </si>
  <si>
    <t>NEI</t>
  </si>
  <si>
    <t>UNICOM ENGINEERING INC</t>
  </si>
  <si>
    <t>Pain Therapeutics Inc</t>
  </si>
  <si>
    <t>PTIE</t>
  </si>
  <si>
    <t>69562K100</t>
  </si>
  <si>
    <t>FLNA</t>
  </si>
  <si>
    <t>FILANA THERAPEUTICS INC</t>
  </si>
  <si>
    <t>2000-07-14</t>
  </si>
  <si>
    <t>Omnivision Technologies Inc</t>
  </si>
  <si>
    <t>OVTI</t>
  </si>
  <si>
    <t>682128103</t>
  </si>
  <si>
    <t>OMNIVISION TECHNOLOGIES INC</t>
  </si>
  <si>
    <t>deCode Genetics Inc</t>
  </si>
  <si>
    <t>DCGN</t>
  </si>
  <si>
    <t>243586104</t>
  </si>
  <si>
    <t>2000-07-18</t>
  </si>
  <si>
    <t>DCGN US</t>
  </si>
  <si>
    <t>DGI Resolution Inc</t>
  </si>
  <si>
    <t>Support.com Inc</t>
  </si>
  <si>
    <t>SPRT</t>
  </si>
  <si>
    <t>868587106</t>
  </si>
  <si>
    <t>SUPPORT.COM INC</t>
  </si>
  <si>
    <t>2000-07-19</t>
  </si>
  <si>
    <t>Transgenomic Inc</t>
  </si>
  <si>
    <t>TBIO</t>
  </si>
  <si>
    <t>89365K206</t>
  </si>
  <si>
    <t>PRPO</t>
  </si>
  <si>
    <t>PRECIPIO INC</t>
  </si>
  <si>
    <t>Argonaut Technologies Inc</t>
  </si>
  <si>
    <t>AGNT</t>
  </si>
  <si>
    <t>040175101</t>
  </si>
  <si>
    <t>2654683D</t>
  </si>
  <si>
    <t>ARGONAUT TECHNOLOGIES INC</t>
  </si>
  <si>
    <t>Airspan Networks Inc</t>
  </si>
  <si>
    <t>AIRN</t>
  </si>
  <si>
    <t>00950H102</t>
  </si>
  <si>
    <t>2554116D</t>
  </si>
  <si>
    <t>AIRSPAN NETWORKS INC</t>
  </si>
  <si>
    <t>2000-07-20</t>
  </si>
  <si>
    <t>Vascular Solutions Inc</t>
  </si>
  <si>
    <t>VASC</t>
  </si>
  <si>
    <t>92231M109</t>
  </si>
  <si>
    <t>VASCULAR SOLUTIONS INC</t>
  </si>
  <si>
    <t>Talarian Corp</t>
  </si>
  <si>
    <t>TALR</t>
  </si>
  <si>
    <t>874090103</t>
  </si>
  <si>
    <t>0820558D</t>
  </si>
  <si>
    <t>TALARIAN CORP</t>
  </si>
  <si>
    <t>2000-07-21</t>
  </si>
  <si>
    <t>SMTC Corp</t>
  </si>
  <si>
    <t>SMRTC</t>
  </si>
  <si>
    <t>832682108</t>
  </si>
  <si>
    <t>SMTX</t>
  </si>
  <si>
    <t>SMTC CORPORATION</t>
  </si>
  <si>
    <t>Corio Inc</t>
  </si>
  <si>
    <t>CRIO</t>
  </si>
  <si>
    <t>218875102</t>
  </si>
  <si>
    <t>CORIO INC</t>
  </si>
  <si>
    <t>Embraer</t>
  </si>
  <si>
    <t>ERJ</t>
  </si>
  <si>
    <t>29081M102</t>
  </si>
  <si>
    <t>ERJ US</t>
  </si>
  <si>
    <t>Embraer SA</t>
  </si>
  <si>
    <t>Variagenics Inc</t>
  </si>
  <si>
    <t>VGNX</t>
  </si>
  <si>
    <t>922196100</t>
  </si>
  <si>
    <t>VARIAGENICS INC</t>
  </si>
  <si>
    <t>Blue Martini Software Inc</t>
  </si>
  <si>
    <t>BLUE</t>
  </si>
  <si>
    <t>095698106</t>
  </si>
  <si>
    <t>2000-07-24</t>
  </si>
  <si>
    <t>723068Q</t>
  </si>
  <si>
    <t>BLUE MARTINI SOFTWARE INC</t>
  </si>
  <si>
    <t>2000-07-25</t>
  </si>
  <si>
    <t>Evoke Communications Inc</t>
  </si>
  <si>
    <t>EVOK</t>
  </si>
  <si>
    <t>30048Q202</t>
  </si>
  <si>
    <t>Gemini Genomics PLC</t>
  </si>
  <si>
    <t>GMNI</t>
  </si>
  <si>
    <t>36865M109</t>
  </si>
  <si>
    <t>Interland Inc</t>
  </si>
  <si>
    <t>ILND</t>
  </si>
  <si>
    <t>458726106</t>
  </si>
  <si>
    <t>INTERLAND INC/OLD</t>
  </si>
  <si>
    <t>TyCom Ltd(Tyco Intl Ltd)</t>
  </si>
  <si>
    <t>TCM</t>
  </si>
  <si>
    <t>G9144B106</t>
  </si>
  <si>
    <t>2000-07-26</t>
  </si>
  <si>
    <t>Bloomberg News 7/27/2000: $2.0B raised; $32/sh (Wolf Popper); upsized ~50%</t>
  </si>
  <si>
    <t>Applied Molecular Evolution</t>
  </si>
  <si>
    <t>AMEV</t>
  </si>
  <si>
    <t>03823E108</t>
  </si>
  <si>
    <t>APPLIED MOLECULAR EVOLUTION</t>
  </si>
  <si>
    <t>2000-07-27</t>
  </si>
  <si>
    <t>ValiCert Inc</t>
  </si>
  <si>
    <t>VLCT</t>
  </si>
  <si>
    <t>91915Q105</t>
  </si>
  <si>
    <t>VALICERT INC</t>
  </si>
  <si>
    <t>2000-07-28</t>
  </si>
  <si>
    <t>Rita Medical Systems Inc</t>
  </si>
  <si>
    <t>RITA</t>
  </si>
  <si>
    <t>76774E103</t>
  </si>
  <si>
    <t>1948550D</t>
  </si>
  <si>
    <t>RITA MEDICAL SYSTEMS INC</t>
  </si>
  <si>
    <t>Webex Communications Inc</t>
  </si>
  <si>
    <t>WEBX</t>
  </si>
  <si>
    <t>94767L109</t>
  </si>
  <si>
    <t>2658603D</t>
  </si>
  <si>
    <t>CISCO WEBEX LLC</t>
  </si>
  <si>
    <t>Mainspring Inc</t>
  </si>
  <si>
    <t>MSPR</t>
  </si>
  <si>
    <t>56062U100</t>
  </si>
  <si>
    <t>2065469D</t>
  </si>
  <si>
    <t>MAINSPRING INC</t>
  </si>
  <si>
    <t>Lexent Inc</t>
  </si>
  <si>
    <t>LXNT</t>
  </si>
  <si>
    <t>52886Q102</t>
  </si>
  <si>
    <t>LEXENT INC</t>
  </si>
  <si>
    <t>Illumina Inc</t>
  </si>
  <si>
    <t>ILMN</t>
  </si>
  <si>
    <t>452327109</t>
  </si>
  <si>
    <t>ILLUMINA INC</t>
  </si>
  <si>
    <t>Genencor International Inc</t>
  </si>
  <si>
    <t>GCOR</t>
  </si>
  <si>
    <t>368709101</t>
  </si>
  <si>
    <t>Discovery Partners Int'l Inc</t>
  </si>
  <si>
    <t>DPII</t>
  </si>
  <si>
    <t>254675101</t>
  </si>
  <si>
    <t>INFIQ</t>
  </si>
  <si>
    <t>INFINITY PHARMACEUTICALS INC</t>
  </si>
  <si>
    <t>Corvis Corp</t>
  </si>
  <si>
    <t>CORV</t>
  </si>
  <si>
    <t>221009103</t>
  </si>
  <si>
    <t>CORV US</t>
  </si>
  <si>
    <t>Correvio Pharma Corp</t>
  </si>
  <si>
    <t>Avici Systems Inc</t>
  </si>
  <si>
    <t>AVCI</t>
  </si>
  <si>
    <t>05367L109</t>
  </si>
  <si>
    <t>SOAP</t>
  </si>
  <si>
    <t>SOAPSTONE NETWORKS INC</t>
  </si>
  <si>
    <t>Arena Pharmaceuticals Inc</t>
  </si>
  <si>
    <t>ARNA</t>
  </si>
  <si>
    <t>040047102</t>
  </si>
  <si>
    <t>ARENA PHARMACEUTICALS INC</t>
  </si>
  <si>
    <t>Camtek Ltd</t>
  </si>
  <si>
    <t>CAMT</t>
  </si>
  <si>
    <t>M20791105</t>
  </si>
  <si>
    <t>CAMT US</t>
  </si>
  <si>
    <t>Camtek Ltd/Israel</t>
  </si>
  <si>
    <t>Keryx Biopharmaceuticals Inc</t>
  </si>
  <si>
    <t>KERX</t>
  </si>
  <si>
    <t>492515101</t>
  </si>
  <si>
    <t>KERYX BIOPHARMACEUTICALS</t>
  </si>
  <si>
    <t>Convergent Group Corp</t>
  </si>
  <si>
    <t>CVGP</t>
  </si>
  <si>
    <t>21247V100</t>
  </si>
  <si>
    <t>2000-07-31</t>
  </si>
  <si>
    <t>CONVERGENT GROUP CORP</t>
  </si>
  <si>
    <t>2000-08-01</t>
  </si>
  <si>
    <t>Virage Logic Corp</t>
  </si>
  <si>
    <t>VIRL</t>
  </si>
  <si>
    <t>92763R104</t>
  </si>
  <si>
    <t>VIRAGE LOGIC CORPORATION</t>
  </si>
  <si>
    <t>Western Multiplex Corp</t>
  </si>
  <si>
    <t>WMUX</t>
  </si>
  <si>
    <t>95874P107</t>
  </si>
  <si>
    <t>PROXQ</t>
  </si>
  <si>
    <t>PROXIM CORP-CL A</t>
  </si>
  <si>
    <t>Tripath Technology Inc</t>
  </si>
  <si>
    <t>TRPH</t>
  </si>
  <si>
    <t>89672P104</t>
  </si>
  <si>
    <t>CDWD</t>
  </si>
  <si>
    <t>CLOUDWARD INC</t>
  </si>
  <si>
    <t>Speechworks International Inc</t>
  </si>
  <si>
    <t>SPWX</t>
  </si>
  <si>
    <t>84764M101</t>
  </si>
  <si>
    <t>SPEECHWORKS INTERNATIONAL</t>
  </si>
  <si>
    <t>Floware Wireless Systems Ltd</t>
  </si>
  <si>
    <t>FLRE</t>
  </si>
  <si>
    <t>M45919103</t>
  </si>
  <si>
    <t>Genaissance Pharmaceuticals</t>
  </si>
  <si>
    <t>GNSC</t>
  </si>
  <si>
    <t>36867W105</t>
  </si>
  <si>
    <t>GENAISSANCE PHARMACEUTICALS</t>
  </si>
  <si>
    <t>2000-08-02</t>
  </si>
  <si>
    <t>California Pizza Kitchen Inc</t>
  </si>
  <si>
    <t>CPKI</t>
  </si>
  <si>
    <t>13054D109</t>
  </si>
  <si>
    <t>CALIFORNIA PIZZA KITCHEN INC</t>
  </si>
  <si>
    <t>Deltagen Inc</t>
  </si>
  <si>
    <t>DGEN</t>
  </si>
  <si>
    <t>24783R103</t>
  </si>
  <si>
    <t>DELTAGEN INC</t>
  </si>
  <si>
    <t>2000-08-03</t>
  </si>
  <si>
    <t>Entravision Communications</t>
  </si>
  <si>
    <t>EVC</t>
  </si>
  <si>
    <t>29382R107</t>
  </si>
  <si>
    <t>ENTRAVISION COMMUNICATIONS-A</t>
  </si>
  <si>
    <t>eRoom System Technologies Inc</t>
  </si>
  <si>
    <t>ERMS</t>
  </si>
  <si>
    <t>296016108</t>
  </si>
  <si>
    <t>EROOM SYSTEM TECHNOLOGIES</t>
  </si>
  <si>
    <t>iAsia Works Inc</t>
  </si>
  <si>
    <t>IAWK</t>
  </si>
  <si>
    <t>45072L101</t>
  </si>
  <si>
    <t>IASIAWORKS INC</t>
  </si>
  <si>
    <t>Opnet Technologies Inc</t>
  </si>
  <si>
    <t>OPNT</t>
  </si>
  <si>
    <t>683757108</t>
  </si>
  <si>
    <t>1384851D</t>
  </si>
  <si>
    <t>OPNET TECHNOLOGIES INC</t>
  </si>
  <si>
    <t>Resonate Inc</t>
  </si>
  <si>
    <t>RSNT</t>
  </si>
  <si>
    <t>76115Q104</t>
  </si>
  <si>
    <t>RESONATE INC</t>
  </si>
  <si>
    <t>ScreamingMedia Inc</t>
  </si>
  <si>
    <t>SCRM</t>
  </si>
  <si>
    <t>810883108</t>
  </si>
  <si>
    <t>SCRM US</t>
  </si>
  <si>
    <t>Screaming Eagle Acquisition Co</t>
  </si>
  <si>
    <t>Versicor Inc</t>
  </si>
  <si>
    <t>VERS</t>
  </si>
  <si>
    <t>925314106</t>
  </si>
  <si>
    <t>MICU</t>
  </si>
  <si>
    <t>VICURON PHARMACEUTICALS INC</t>
  </si>
  <si>
    <t>SignalSoft Corp</t>
  </si>
  <si>
    <t>SGSF</t>
  </si>
  <si>
    <t>82668M102</t>
  </si>
  <si>
    <t>SIGNALSOFT CORP</t>
  </si>
  <si>
    <t>Inspire Pharmaceuticals Inc</t>
  </si>
  <si>
    <t>ISPH</t>
  </si>
  <si>
    <t>457733103</t>
  </si>
  <si>
    <t>INSPIRE PHARMACEUTICALS INC</t>
  </si>
  <si>
    <t>Rosetta Inpharmatics Inc</t>
  </si>
  <si>
    <t>RSTA</t>
  </si>
  <si>
    <t>777777103</t>
  </si>
  <si>
    <t>355676Q</t>
  </si>
  <si>
    <t>ROSETTA INPHARMATICS</t>
  </si>
  <si>
    <t>Crosswave Communications Inc</t>
  </si>
  <si>
    <t>CWCI</t>
  </si>
  <si>
    <t>227686102</t>
  </si>
  <si>
    <t>CWCI US</t>
  </si>
  <si>
    <t>3-Dimensional Pharmaceuticals</t>
  </si>
  <si>
    <t>DDDP</t>
  </si>
  <si>
    <t>88554W104</t>
  </si>
  <si>
    <t>3 DIMENSIONAL PHARMACEUTICAL</t>
  </si>
  <si>
    <t>2000-08-04</t>
  </si>
  <si>
    <t>Innovative Solns &amp; Support Inc</t>
  </si>
  <si>
    <t>ISSC</t>
  </si>
  <si>
    <t>45769N105</t>
  </si>
  <si>
    <t>INNOVATIVE SOLUTIONS &amp; SUPP</t>
  </si>
  <si>
    <t>Bruker Daltonics Inc</t>
  </si>
  <si>
    <t>BDAL</t>
  </si>
  <si>
    <t>116795105</t>
  </si>
  <si>
    <t>BRKR</t>
  </si>
  <si>
    <t>BRUKER CORP</t>
  </si>
  <si>
    <t>Ceragon Networks Ltd</t>
  </si>
  <si>
    <t>CRNT</t>
  </si>
  <si>
    <t>M22013102</t>
  </si>
  <si>
    <t>CRNT US</t>
  </si>
  <si>
    <t>EXE Technologies Inc</t>
  </si>
  <si>
    <t>EXEE</t>
  </si>
  <si>
    <t>301504106</t>
  </si>
  <si>
    <t>EXE TECHNOLOGIES LLC</t>
  </si>
  <si>
    <t>Lantronix Inc</t>
  </si>
  <si>
    <t>LTRX</t>
  </si>
  <si>
    <t>516548104</t>
  </si>
  <si>
    <t>LANTRONIX INC</t>
  </si>
  <si>
    <t>Microtune Inc</t>
  </si>
  <si>
    <t>TUNE</t>
  </si>
  <si>
    <t>59514P109</t>
  </si>
  <si>
    <t>2282710D</t>
  </si>
  <si>
    <t>MICROTUNE INC</t>
  </si>
  <si>
    <t>Pemstar Inc</t>
  </si>
  <si>
    <t>PMTR</t>
  </si>
  <si>
    <t>706552106</t>
  </si>
  <si>
    <t>2000-08-07</t>
  </si>
  <si>
    <t>2576365D</t>
  </si>
  <si>
    <t>PEMSTAR INC</t>
  </si>
  <si>
    <t>2000-08-08</t>
  </si>
  <si>
    <t>Medicines Co</t>
  </si>
  <si>
    <t>MDCO</t>
  </si>
  <si>
    <t>584688105</t>
  </si>
  <si>
    <t>MEDICINES COMPANY</t>
  </si>
  <si>
    <t>America Online Latin America</t>
  </si>
  <si>
    <t>AOLA</t>
  </si>
  <si>
    <t>02365B100</t>
  </si>
  <si>
    <t>AOLAQ</t>
  </si>
  <si>
    <t>AMERICA ONLINE LATIN AMER-A</t>
  </si>
  <si>
    <t>Active Power Inc</t>
  </si>
  <si>
    <t>ACPW</t>
  </si>
  <si>
    <t>00504W100</t>
  </si>
  <si>
    <t>ACPW US</t>
  </si>
  <si>
    <t>P10 Holdings Inc</t>
  </si>
  <si>
    <t>Advanced Power Technology Inc</t>
  </si>
  <si>
    <t>APTI</t>
  </si>
  <si>
    <t>00761E108</t>
  </si>
  <si>
    <t>2245546Q</t>
  </si>
  <si>
    <t>ADVANCED POWER TECHNOLOG INC</t>
  </si>
  <si>
    <t>ChipPAC Inc</t>
  </si>
  <si>
    <t>CHPC</t>
  </si>
  <si>
    <t>169657103</t>
  </si>
  <si>
    <t>3042466Q</t>
  </si>
  <si>
    <t>CHIPPAC INC-A</t>
  </si>
  <si>
    <t>2000-08-09</t>
  </si>
  <si>
    <t>Mind C.T.I. Ltd</t>
  </si>
  <si>
    <t>MNDO</t>
  </si>
  <si>
    <t>M70240102</t>
  </si>
  <si>
    <t>MNDO US</t>
  </si>
  <si>
    <t>Mind CTI Ltd</t>
  </si>
  <si>
    <t>Repeater Technologies Inc</t>
  </si>
  <si>
    <t>RPTR</t>
  </si>
  <si>
    <t>76027U102</t>
  </si>
  <si>
    <t>REPEATER TECHNOLOGIES INC</t>
  </si>
  <si>
    <t>TeleCommunications Systems Inc</t>
  </si>
  <si>
    <t>TSYS</t>
  </si>
  <si>
    <t>87929J103</t>
  </si>
  <si>
    <t>TELECOMMUNICATION SYSTEMS-A</t>
  </si>
  <si>
    <t>Millennium Cell Inc</t>
  </si>
  <si>
    <t>MCEL</t>
  </si>
  <si>
    <t>60038B105</t>
  </si>
  <si>
    <t>MCELQ</t>
  </si>
  <si>
    <t>MILLENNIUM CELL INC</t>
  </si>
  <si>
    <t>Pharsight Corp</t>
  </si>
  <si>
    <t>PHST</t>
  </si>
  <si>
    <t>71721Q101</t>
  </si>
  <si>
    <t>PHARSIGHT CORP</t>
  </si>
  <si>
    <t>McData Corp</t>
  </si>
  <si>
    <t>MCDT</t>
  </si>
  <si>
    <t>580031102</t>
  </si>
  <si>
    <t>MCDT US</t>
  </si>
  <si>
    <t>McDATA Corp</t>
  </si>
  <si>
    <t>RadView Software Ltd</t>
  </si>
  <si>
    <t>RADV</t>
  </si>
  <si>
    <t>M81867109</t>
  </si>
  <si>
    <t>RADV US</t>
  </si>
  <si>
    <t>Radiation Dev Ltd</t>
  </si>
  <si>
    <t>Evolve Software Inc</t>
  </si>
  <si>
    <t>EVLV</t>
  </si>
  <si>
    <t>30049P104</t>
  </si>
  <si>
    <t>EVLVQ</t>
  </si>
  <si>
    <t>EVOLVE SOFTWARE INC</t>
  </si>
  <si>
    <t>2000-08-10</t>
  </si>
  <si>
    <t>Esperion Therapeutics Inc</t>
  </si>
  <si>
    <t>ESPR</t>
  </si>
  <si>
    <t>29664R106</t>
  </si>
  <si>
    <t>0778324D</t>
  </si>
  <si>
    <t>ESPERION THERAPEUTICS INC/OL</t>
  </si>
  <si>
    <t>AtheroGenics Inc</t>
  </si>
  <si>
    <t>AGIX</t>
  </si>
  <si>
    <t>047439104</t>
  </si>
  <si>
    <t>AGIXQ</t>
  </si>
  <si>
    <t>ATHEROGENICS INC</t>
  </si>
  <si>
    <t>H Power Corp</t>
  </si>
  <si>
    <t>HPOW</t>
  </si>
  <si>
    <t>40427A108</t>
  </si>
  <si>
    <t>H POWER CORP</t>
  </si>
  <si>
    <t>Tvia Inc</t>
  </si>
  <si>
    <t>TVIA</t>
  </si>
  <si>
    <t>87307P101</t>
  </si>
  <si>
    <t>1530827D</t>
  </si>
  <si>
    <t>TVIA INC</t>
  </si>
  <si>
    <t>Equinix Inc</t>
  </si>
  <si>
    <t>EQIX</t>
  </si>
  <si>
    <t>29444U106</t>
  </si>
  <si>
    <t>EQUINIX INC</t>
  </si>
  <si>
    <t>2000-08-11</t>
  </si>
  <si>
    <t>Regeneration Technologies Inc</t>
  </si>
  <si>
    <t>RTIX</t>
  </si>
  <si>
    <t>75886N100</t>
  </si>
  <si>
    <t>SRGAQ</t>
  </si>
  <si>
    <t>SURGALIGN HOLDINGS INC</t>
  </si>
  <si>
    <t>Vina Technologies Inc</t>
  </si>
  <si>
    <t>VINA</t>
  </si>
  <si>
    <t>92719D100</t>
  </si>
  <si>
    <t>VINA TECHNOLOGIES INC</t>
  </si>
  <si>
    <t>Quintalinux Ltd</t>
  </si>
  <si>
    <t>QLNX</t>
  </si>
  <si>
    <t>G73286109</t>
  </si>
  <si>
    <t>QLNX US</t>
  </si>
  <si>
    <t>American Medical Systems Hold</t>
  </si>
  <si>
    <t>AMMD</t>
  </si>
  <si>
    <t>02744M108</t>
  </si>
  <si>
    <t>ASTORA WOMEN'S HEALTH HOLDIN</t>
  </si>
  <si>
    <t>Lion Bioscience AG</t>
  </si>
  <si>
    <t>LION</t>
  </si>
  <si>
    <t>536191109</t>
  </si>
  <si>
    <t>Large Scale Biology Corp</t>
  </si>
  <si>
    <t>LSBC</t>
  </si>
  <si>
    <t>517053104</t>
  </si>
  <si>
    <t>LARGE SCALE BIOLOGY CORP</t>
  </si>
  <si>
    <t>Orient-Express Hotels Ltd</t>
  </si>
  <si>
    <t>OEH</t>
  </si>
  <si>
    <t>G67743107</t>
  </si>
  <si>
    <t>OEH US</t>
  </si>
  <si>
    <t>Belmond Ltd</t>
  </si>
  <si>
    <t>Compugen Ltd</t>
  </si>
  <si>
    <t>CGEN</t>
  </si>
  <si>
    <t>M25722105</t>
  </si>
  <si>
    <t>CGEN US</t>
  </si>
  <si>
    <t>Telik Inc</t>
  </si>
  <si>
    <t>TELK</t>
  </si>
  <si>
    <t>87959M109</t>
  </si>
  <si>
    <t>Dyax Corp</t>
  </si>
  <si>
    <t>DYAX</t>
  </si>
  <si>
    <t>26746E103</t>
  </si>
  <si>
    <t>2000-08-14</t>
  </si>
  <si>
    <t>DYAX CORP</t>
  </si>
  <si>
    <t>2000-08-15</t>
  </si>
  <si>
    <t>SynQuest Inc</t>
  </si>
  <si>
    <t>SYNQ</t>
  </si>
  <si>
    <t>87160X100</t>
  </si>
  <si>
    <t>1016061Q</t>
  </si>
  <si>
    <t>VIEWLOCITY INC</t>
  </si>
  <si>
    <t>Lexar Media Inc</t>
  </si>
  <si>
    <t>LEXR</t>
  </si>
  <si>
    <t>52886P104</t>
  </si>
  <si>
    <t>LEXAR MEDIA INC</t>
  </si>
  <si>
    <t>O2Wireless Solutions Inc</t>
  </si>
  <si>
    <t>OTWO</t>
  </si>
  <si>
    <t>689803104</t>
  </si>
  <si>
    <t>2000-08-16</t>
  </si>
  <si>
    <t>O2WIRELESS SOLUTIONS, INC.</t>
  </si>
  <si>
    <t>PeoplePC Inc</t>
  </si>
  <si>
    <t>PEOP</t>
  </si>
  <si>
    <t>709776108</t>
  </si>
  <si>
    <t>3679840Q</t>
  </si>
  <si>
    <t>PEOPLEPC INC</t>
  </si>
  <si>
    <t>PECO II Inc</t>
  </si>
  <si>
    <t>PIII</t>
  </si>
  <si>
    <t>705221109</t>
  </si>
  <si>
    <t>2000-08-17</t>
  </si>
  <si>
    <t>1936438D</t>
  </si>
  <si>
    <t>PECO II INC</t>
  </si>
  <si>
    <t>2000-08-18</t>
  </si>
  <si>
    <t>Integrated Telecom Express Inc</t>
  </si>
  <si>
    <t>ITXI</t>
  </si>
  <si>
    <t>45817U101</t>
  </si>
  <si>
    <t>ITXIQ</t>
  </si>
  <si>
    <t>INTEGRATED TELECOM EXPRESS</t>
  </si>
  <si>
    <t>Avistar Communications Corp</t>
  </si>
  <si>
    <t>AVSR</t>
  </si>
  <si>
    <t>05379X208</t>
  </si>
  <si>
    <t>AVISTAR COMMUNICATIONS CORP</t>
  </si>
  <si>
    <t>Pinnacle Financial Partners</t>
  </si>
  <si>
    <t>72346Q104</t>
  </si>
  <si>
    <t>9998819D</t>
  </si>
  <si>
    <t>PINNACLE FINANCIAL PARTNERS</t>
  </si>
  <si>
    <t>Viasource Communications Inc</t>
  </si>
  <si>
    <t>VVVV</t>
  </si>
  <si>
    <t>92553W107</t>
  </si>
  <si>
    <t>VVVVQ</t>
  </si>
  <si>
    <t>VIASOURCE COMMUNICATIONS</t>
  </si>
  <si>
    <t>WJ Communications Inc</t>
  </si>
  <si>
    <t>WJCI</t>
  </si>
  <si>
    <t>929284107</t>
  </si>
  <si>
    <t>TRIQUINT WJ INC</t>
  </si>
  <si>
    <t>Ista Pharmaceuticals Inc</t>
  </si>
  <si>
    <t>ISTA</t>
  </si>
  <si>
    <t>45031X105</t>
  </si>
  <si>
    <t>2000-08-21</t>
  </si>
  <si>
    <t>ISTA PHARMACEUTICALS LLC</t>
  </si>
  <si>
    <t>2000-08-22</t>
  </si>
  <si>
    <t>02 Micro International Limited</t>
  </si>
  <si>
    <t>OIIM</t>
  </si>
  <si>
    <t>G6797E106</t>
  </si>
  <si>
    <t>2000-08-23</t>
  </si>
  <si>
    <t>OIIM US</t>
  </si>
  <si>
    <t>O2Micro International Ltd</t>
  </si>
  <si>
    <t>ServiceWare Technologies Inc</t>
  </si>
  <si>
    <t>SVCW</t>
  </si>
  <si>
    <t>81763Q109</t>
  </si>
  <si>
    <t>2000-08-25</t>
  </si>
  <si>
    <t>KNVS</t>
  </si>
  <si>
    <t>KNOVA SOFTWARE INC</t>
  </si>
  <si>
    <t>Chiles Offshore LLC</t>
  </si>
  <si>
    <t>COD</t>
  </si>
  <si>
    <t>16888M104</t>
  </si>
  <si>
    <t>2000-09-18</t>
  </si>
  <si>
    <t>CHILES OFFSHORE INC</t>
  </si>
  <si>
    <t>2000-09-19</t>
  </si>
  <si>
    <t>ViryaNet LTD</t>
  </si>
  <si>
    <t>VRYA</t>
  </si>
  <si>
    <t>M97540104</t>
  </si>
  <si>
    <t>VRYA US</t>
  </si>
  <si>
    <t>ViryaNet Ltd</t>
  </si>
  <si>
    <t>OmniSky Corp</t>
  </si>
  <si>
    <t>OMNY</t>
  </si>
  <si>
    <t>68213L103</t>
  </si>
  <si>
    <t>2000-09-20</t>
  </si>
  <si>
    <t>OMNISKY CORP</t>
  </si>
  <si>
    <t>2000-09-21</t>
  </si>
  <si>
    <t>Zengine Inc</t>
  </si>
  <si>
    <t>ZNGN</t>
  </si>
  <si>
    <t>98935C107</t>
  </si>
  <si>
    <t>ZENGINE INC</t>
  </si>
  <si>
    <t>TTM Technologies Inc</t>
  </si>
  <si>
    <t>TTMI</t>
  </si>
  <si>
    <t>87305R109</t>
  </si>
  <si>
    <t>TTM TECHNOLOGIES</t>
  </si>
  <si>
    <t>Curon Medical Inc</t>
  </si>
  <si>
    <t>CURN</t>
  </si>
  <si>
    <t>231292103</t>
  </si>
  <si>
    <t>CRNM</t>
  </si>
  <si>
    <t>CURON MEDICAL INC</t>
  </si>
  <si>
    <t>2000-09-22</t>
  </si>
  <si>
    <t>INRANGE Technologies Corp</t>
  </si>
  <si>
    <t>INRG</t>
  </si>
  <si>
    <t>45769V206</t>
  </si>
  <si>
    <t>INRANGE TECHNOLOGIES-CL B</t>
  </si>
  <si>
    <t>Cosine Communications Inc</t>
  </si>
  <si>
    <t>COSN</t>
  </si>
  <si>
    <t>221222102</t>
  </si>
  <si>
    <t>2000-09-25</t>
  </si>
  <si>
    <t>COSINE COMMUNICATIONS INC</t>
  </si>
  <si>
    <t>AvantGo Inc</t>
  </si>
  <si>
    <t>AVGO</t>
  </si>
  <si>
    <t>05349M100</t>
  </si>
  <si>
    <t>2000-09-26</t>
  </si>
  <si>
    <t>668718Q</t>
  </si>
  <si>
    <t>AVANTGO INC</t>
  </si>
  <si>
    <t>2000-09-27</t>
  </si>
  <si>
    <t>EDEN Bioscience Corp</t>
  </si>
  <si>
    <t>EDEN</t>
  </si>
  <si>
    <t>279445100</t>
  </si>
  <si>
    <t>0120599D</t>
  </si>
  <si>
    <t>EDEN BIOSCIENCE CORP</t>
  </si>
  <si>
    <t>Hydril Co</t>
  </si>
  <si>
    <t>HYDL</t>
  </si>
  <si>
    <t>448774109</t>
  </si>
  <si>
    <t>HYDRIL CO</t>
  </si>
  <si>
    <t>Southern Energy(Southern Co)</t>
  </si>
  <si>
    <t>SOE</t>
  </si>
  <si>
    <t>842816100</t>
  </si>
  <si>
    <t>MIRKQ</t>
  </si>
  <si>
    <t>MIRANT CORP-OLD</t>
  </si>
  <si>
    <t>DURECT Corp</t>
  </si>
  <si>
    <t>DRRX</t>
  </si>
  <si>
    <t>266605104</t>
  </si>
  <si>
    <t>DURECT CORPORATION</t>
  </si>
  <si>
    <t>2000-09-28</t>
  </si>
  <si>
    <t>University of Phoenix Online</t>
  </si>
  <si>
    <t>UOPX</t>
  </si>
  <si>
    <t>037604204</t>
  </si>
  <si>
    <t>UNIVERSITY OF PHOENIX ONLINE</t>
  </si>
  <si>
    <t>Grupo Aeroportuario del</t>
  </si>
  <si>
    <t>ASR</t>
  </si>
  <si>
    <t>40051E202</t>
  </si>
  <si>
    <t>ASR US</t>
  </si>
  <si>
    <t>Grupo Aeroportuario del Surest</t>
  </si>
  <si>
    <t>Vastera Inc</t>
  </si>
  <si>
    <t>VAST</t>
  </si>
  <si>
    <t>92239N109</t>
  </si>
  <si>
    <t>LIVINGSTON INTERNATIONAL TEC</t>
  </si>
  <si>
    <t>Proton Energy Systems Inc</t>
  </si>
  <si>
    <t>PRTN</t>
  </si>
  <si>
    <t>74371K101</t>
  </si>
  <si>
    <t>DESCQ</t>
  </si>
  <si>
    <t>DISTRIBUTED ENERGY SYSTEMS</t>
  </si>
  <si>
    <t>2000-09-29</t>
  </si>
  <si>
    <t>Head NV</t>
  </si>
  <si>
    <t>HED</t>
  </si>
  <si>
    <t>422070102</t>
  </si>
  <si>
    <t>HED US</t>
  </si>
  <si>
    <t>Head BV</t>
  </si>
  <si>
    <t>Elastic Networks Inc</t>
  </si>
  <si>
    <t>ELAS</t>
  </si>
  <si>
    <t>284159100</t>
  </si>
  <si>
    <t>ELASTIC NETWORKS INC</t>
  </si>
  <si>
    <t>Ciphergen Biosystems Inc</t>
  </si>
  <si>
    <t>CIPH</t>
  </si>
  <si>
    <t>17252Y104</t>
  </si>
  <si>
    <t>VRMLQ</t>
  </si>
  <si>
    <t>VERMILLION INC-OLD</t>
  </si>
  <si>
    <t>@Road Inc</t>
  </si>
  <si>
    <t>ARDI</t>
  </si>
  <si>
    <t>04648K105</t>
  </si>
  <si>
    <t>@ROAD INC</t>
  </si>
  <si>
    <t>Docent Inc</t>
  </si>
  <si>
    <t>DCNT</t>
  </si>
  <si>
    <t>25608L106</t>
  </si>
  <si>
    <t>502462Q</t>
  </si>
  <si>
    <t>DOCENT INC</t>
  </si>
  <si>
    <t>Genomica Corp</t>
  </si>
  <si>
    <t>GNOM</t>
  </si>
  <si>
    <t>37243Q101</t>
  </si>
  <si>
    <t>3714927Q</t>
  </si>
  <si>
    <t>GENOMICA CORP</t>
  </si>
  <si>
    <t>Simple Technology Inc</t>
  </si>
  <si>
    <t>STEC</t>
  </si>
  <si>
    <t>828820100</t>
  </si>
  <si>
    <t>STEC US</t>
  </si>
  <si>
    <t>BitVentures Ltd</t>
  </si>
  <si>
    <t>Wilson Greatbatch Technologies</t>
  </si>
  <si>
    <t>GB</t>
  </si>
  <si>
    <t>972232102</t>
  </si>
  <si>
    <t>GB US</t>
  </si>
  <si>
    <t>Global Blue Group Holding AG</t>
  </si>
  <si>
    <t>InforMax Inc</t>
  </si>
  <si>
    <t>INMX</t>
  </si>
  <si>
    <t>45677N205</t>
  </si>
  <si>
    <t>2000-10-02</t>
  </si>
  <si>
    <t>INFORMAX INC</t>
  </si>
  <si>
    <t>2000-10-03</t>
  </si>
  <si>
    <t>New Skies Satellites NV</t>
  </si>
  <si>
    <t>NSK</t>
  </si>
  <si>
    <t>648723104</t>
  </si>
  <si>
    <t>NSK US</t>
  </si>
  <si>
    <t>2000-10-04</t>
  </si>
  <si>
    <t>Coach Inc</t>
  </si>
  <si>
    <t>COH</t>
  </si>
  <si>
    <t>189754104</t>
  </si>
  <si>
    <t>TPR</t>
  </si>
  <si>
    <t>TAPESTRY INC</t>
  </si>
  <si>
    <t>2000-10-05</t>
  </si>
  <si>
    <t>Oplink Communications Inc</t>
  </si>
  <si>
    <t>OPLK</t>
  </si>
  <si>
    <t>68375Q106</t>
  </si>
  <si>
    <t>OPLINK COMMUNICATIONS INC</t>
  </si>
  <si>
    <t>Advanced Switching Communic</t>
  </si>
  <si>
    <t>ASCX</t>
  </si>
  <si>
    <t>00757V106</t>
  </si>
  <si>
    <t>ASCXZ</t>
  </si>
  <si>
    <t>ADVANCED SWITCHING COMM INC</t>
  </si>
  <si>
    <t>TNPC Inc</t>
  </si>
  <si>
    <t>NPW</t>
  </si>
  <si>
    <t>87260K107</t>
  </si>
  <si>
    <t>NWPWQ</t>
  </si>
  <si>
    <t>NEWPOWER HOLDINGS INC</t>
  </si>
  <si>
    <t>Kosan Biosciences Inc</t>
  </si>
  <si>
    <t>KOSN</t>
  </si>
  <si>
    <t>50064W107</t>
  </si>
  <si>
    <t>KOSAN BIOSCIENCES INC</t>
  </si>
  <si>
    <t>Asia Global Crossing Ltd</t>
  </si>
  <si>
    <t>AGCX</t>
  </si>
  <si>
    <t>G05330108</t>
  </si>
  <si>
    <t>2000-10-06</t>
  </si>
  <si>
    <t>AGCX US</t>
  </si>
  <si>
    <t>Pozen Inc</t>
  </si>
  <si>
    <t>POZN</t>
  </si>
  <si>
    <t>73941U102</t>
  </si>
  <si>
    <t>2000-10-10</t>
  </si>
  <si>
    <t>POZEN INC</t>
  </si>
  <si>
    <t>2000-10-11</t>
  </si>
  <si>
    <t>W-H Energy Services Inc</t>
  </si>
  <si>
    <t>WHES</t>
  </si>
  <si>
    <t>92925E108</t>
  </si>
  <si>
    <t>WHQA</t>
  </si>
  <si>
    <t>W-H ENERGY SERVICES INC</t>
  </si>
  <si>
    <t>Introgen Therapeutics Inc</t>
  </si>
  <si>
    <t>INGN</t>
  </si>
  <si>
    <t>46119F107</t>
  </si>
  <si>
    <t>INGNQ</t>
  </si>
  <si>
    <t>INTROGEN THERAPEUTICS INC</t>
  </si>
  <si>
    <t>2000-10-12</t>
  </si>
  <si>
    <t>SFBC International Inc</t>
  </si>
  <si>
    <t>SFC</t>
  </si>
  <si>
    <t>784121105</t>
  </si>
  <si>
    <t>SFC US</t>
  </si>
  <si>
    <t>Spirit Realty Capital Inc</t>
  </si>
  <si>
    <t>Watson Wyatt &amp; Co Holdings</t>
  </si>
  <si>
    <t>WW</t>
  </si>
  <si>
    <t>942712100</t>
  </si>
  <si>
    <t>China Petroleum &amp; Chem Corp</t>
  </si>
  <si>
    <t>SNP</t>
  </si>
  <si>
    <t>16941R108</t>
  </si>
  <si>
    <t>SNP US</t>
  </si>
  <si>
    <t>China Petroleum &amp; Chemical Cor</t>
  </si>
  <si>
    <t>2000-10-19</t>
  </si>
  <si>
    <t>Tri-listing HK/NY/London 10/19/2000; $3.45-3.5B per multiple sources</t>
  </si>
  <si>
    <t>Synplicity Inc</t>
  </si>
  <si>
    <t>SYNP</t>
  </si>
  <si>
    <t>87160Y108</t>
  </si>
  <si>
    <t>SYNPLICITY INC</t>
  </si>
  <si>
    <t>Waypoint Financial Corp</t>
  </si>
  <si>
    <t>WYPT</t>
  </si>
  <si>
    <t>946756103</t>
  </si>
  <si>
    <t>WYPT US</t>
  </si>
  <si>
    <t>Monsanto Co</t>
  </si>
  <si>
    <t>MON</t>
  </si>
  <si>
    <t>61166W101</t>
  </si>
  <si>
    <t>2000-10-17</t>
  </si>
  <si>
    <t>1856613D</t>
  </si>
  <si>
    <t>MONSANTO CO</t>
  </si>
  <si>
    <t>2000-10-18</t>
  </si>
  <si>
    <t>Regus PLC</t>
  </si>
  <si>
    <t>REGS</t>
  </si>
  <si>
    <t>759144108</t>
  </si>
  <si>
    <t>EndWave Corp</t>
  </si>
  <si>
    <t>ENWV</t>
  </si>
  <si>
    <t>29264A107</t>
  </si>
  <si>
    <t>ENDWAVE CORP</t>
  </si>
  <si>
    <t>IXIA Communications</t>
  </si>
  <si>
    <t>XXIA</t>
  </si>
  <si>
    <t>45071R109</t>
  </si>
  <si>
    <t>IXIA</t>
  </si>
  <si>
    <t>Delcath Systems Inc</t>
  </si>
  <si>
    <t>24661P104</t>
  </si>
  <si>
    <t>Westport Resources Corp</t>
  </si>
  <si>
    <t>WRC</t>
  </si>
  <si>
    <t>961415106</t>
  </si>
  <si>
    <t>649848Q</t>
  </si>
  <si>
    <t>WESTPORT RESOURCES CORP</t>
  </si>
  <si>
    <t>Alcatel Optronics</t>
  </si>
  <si>
    <t>ALCA</t>
  </si>
  <si>
    <t>01373W106</t>
  </si>
  <si>
    <t>2000-10-20</t>
  </si>
  <si>
    <t>ALCA US</t>
  </si>
  <si>
    <t>Allante Capital Corp</t>
  </si>
  <si>
    <t>Datalex PLC</t>
  </si>
  <si>
    <t>DLEX</t>
  </si>
  <si>
    <t>23803V102</t>
  </si>
  <si>
    <t>DLEX US</t>
  </si>
  <si>
    <t>Utek Corp</t>
  </si>
  <si>
    <t>UTOB</t>
  </si>
  <si>
    <t>91759P106</t>
  </si>
  <si>
    <t>2000-10-25</t>
  </si>
  <si>
    <t>INNI</t>
  </si>
  <si>
    <t>INNOVARO INC</t>
  </si>
  <si>
    <t>2000-10-24</t>
  </si>
  <si>
    <t>Crucell N.V.</t>
  </si>
  <si>
    <t>CRXL</t>
  </si>
  <si>
    <t>228769105</t>
  </si>
  <si>
    <t>2000-10-26</t>
  </si>
  <si>
    <t>CRXL US</t>
  </si>
  <si>
    <t>Crucell NV</t>
  </si>
  <si>
    <t>Hydrogenics Corp</t>
  </si>
  <si>
    <t>HYGS</t>
  </si>
  <si>
    <t>448882100</t>
  </si>
  <si>
    <t>HYGS US</t>
  </si>
  <si>
    <t>2000-10-27</t>
  </si>
  <si>
    <t>MediChem Life Sciences Inc</t>
  </si>
  <si>
    <t>MCLS</t>
  </si>
  <si>
    <t>584662100</t>
  </si>
  <si>
    <t>2237931Q</t>
  </si>
  <si>
    <t>MEDICHEM LIFE SCIENCES INC</t>
  </si>
  <si>
    <t>Sun Bancshares Inc</t>
  </si>
  <si>
    <t>SNBA</t>
  </si>
  <si>
    <t>86663U100</t>
  </si>
  <si>
    <t>SNBA US</t>
  </si>
  <si>
    <t>Evergreen Solar Inc</t>
  </si>
  <si>
    <t>ESLR</t>
  </si>
  <si>
    <t>30033R108</t>
  </si>
  <si>
    <t>2000-11-01</t>
  </si>
  <si>
    <t>ESLRQ</t>
  </si>
  <si>
    <t>EVERGREEN SOLAR INC</t>
  </si>
  <si>
    <t>Energy Partners Ltd</t>
  </si>
  <si>
    <t>EPL</t>
  </si>
  <si>
    <t>29270U105</t>
  </si>
  <si>
    <t>ERPLQ</t>
  </si>
  <si>
    <t>ENERGY PARTNERS LTD-OLD</t>
  </si>
  <si>
    <t>2000-11-02</t>
  </si>
  <si>
    <t>UTi Worldwide Inc</t>
  </si>
  <si>
    <t>UTIW</t>
  </si>
  <si>
    <t>G87210103</t>
  </si>
  <si>
    <t>BBG screen + plug estimate</t>
  </si>
  <si>
    <t>UTI WORLDWIDE INC</t>
  </si>
  <si>
    <t>Optical Communication Products</t>
  </si>
  <si>
    <t>OCPI</t>
  </si>
  <si>
    <t>68382T101</t>
  </si>
  <si>
    <t>2000-11-03</t>
  </si>
  <si>
    <t>OPTICAL COMMUNICATION PROD</t>
  </si>
  <si>
    <t>Transmeta Corp</t>
  </si>
  <si>
    <t>TMTA</t>
  </si>
  <si>
    <t>89376M10</t>
  </si>
  <si>
    <t>2000-11-06</t>
  </si>
  <si>
    <t>TRANSMETA CORP</t>
  </si>
  <si>
    <t>Inficon Holding AG</t>
  </si>
  <si>
    <t>ICFN</t>
  </si>
  <si>
    <t>45663T109</t>
  </si>
  <si>
    <t>2000-11-08</t>
  </si>
  <si>
    <t>not found in Bloomberg</t>
  </si>
  <si>
    <t>Go2pharmacy.com Inc</t>
  </si>
  <si>
    <t>GORX</t>
  </si>
  <si>
    <t>380193102</t>
  </si>
  <si>
    <t>2000-11-09</t>
  </si>
  <si>
    <t>GORXQ</t>
  </si>
  <si>
    <t>GEOPHARMA INC</t>
  </si>
  <si>
    <t>2000-11-07</t>
  </si>
  <si>
    <t>Luminent Inc(MRV Comm)</t>
  </si>
  <si>
    <t>LMNE</t>
  </si>
  <si>
    <t>55027R103</t>
  </si>
  <si>
    <t>LUMINENT INC</t>
  </si>
  <si>
    <t>2000-11-10</t>
  </si>
  <si>
    <t>AeroGen Inc</t>
  </si>
  <si>
    <t>AEGN</t>
  </si>
  <si>
    <t>007779101</t>
  </si>
  <si>
    <t>0355864Q</t>
  </si>
  <si>
    <t>AEROGEN INC</t>
  </si>
  <si>
    <t>Computer Access Technology</t>
  </si>
  <si>
    <t>CATZ</t>
  </si>
  <si>
    <t>204853105</t>
  </si>
  <si>
    <t>COMPUTER ACCESS TECHNOLOGY</t>
  </si>
  <si>
    <t>Adolor Corp</t>
  </si>
  <si>
    <t>ADLR</t>
  </si>
  <si>
    <t>00724X102</t>
  </si>
  <si>
    <t>2000-11-13</t>
  </si>
  <si>
    <t>ADOLOR CORPORATION</t>
  </si>
  <si>
    <t>2000-11-14</t>
  </si>
  <si>
    <t>Orion Power Holdings Inc</t>
  </si>
  <si>
    <t>ORN</t>
  </si>
  <si>
    <t>686286105</t>
  </si>
  <si>
    <t>3293866Q</t>
  </si>
  <si>
    <t>ORION POWER HOLDINGS INC</t>
  </si>
  <si>
    <t>Syngenta AG (Switzerland)</t>
  </si>
  <si>
    <t>SYT</t>
  </si>
  <si>
    <t>87160A100</t>
  </si>
  <si>
    <t>SYT US</t>
  </si>
  <si>
    <t>SYLA Technologies Co Ltd</t>
  </si>
  <si>
    <t>Novatel Wireless Inc</t>
  </si>
  <si>
    <t>NVTL</t>
  </si>
  <si>
    <t>66987M109</t>
  </si>
  <si>
    <t>2000-11-15</t>
  </si>
  <si>
    <t>MIFI</t>
  </si>
  <si>
    <t>INSEEGO WIRELESS INC</t>
  </si>
  <si>
    <t>2000-11-16</t>
  </si>
  <si>
    <t>Beacon Power Corp</t>
  </si>
  <si>
    <t>BCON</t>
  </si>
  <si>
    <t>073677106</t>
  </si>
  <si>
    <t>BCONQ</t>
  </si>
  <si>
    <t>BEACON POWER CORPORATION</t>
  </si>
  <si>
    <t>2000-11-17</t>
  </si>
  <si>
    <t>Dynacare Inc</t>
  </si>
  <si>
    <t>DNCR</t>
  </si>
  <si>
    <t>267920205</t>
  </si>
  <si>
    <t>DYNACARE INC</t>
  </si>
  <si>
    <t>Array Biopharma Inc</t>
  </si>
  <si>
    <t>ARRY</t>
  </si>
  <si>
    <t>04269X105</t>
  </si>
  <si>
    <t>1832555D</t>
  </si>
  <si>
    <t>ARRAY BIOPHARMA INC</t>
  </si>
  <si>
    <t>Alliance Fiber Optic Products</t>
  </si>
  <si>
    <t>AFOP</t>
  </si>
  <si>
    <t>018680108</t>
  </si>
  <si>
    <t>2000-11-20</t>
  </si>
  <si>
    <t>ALLIANCE FIBER OPTIC PRODUCT</t>
  </si>
  <si>
    <t>2000-11-21</t>
  </si>
  <si>
    <t>iMagicTV</t>
  </si>
  <si>
    <t>IMTV</t>
  </si>
  <si>
    <t>45247E107</t>
  </si>
  <si>
    <t>IMTV US</t>
  </si>
  <si>
    <t>Imagination TV Inc</t>
  </si>
  <si>
    <t>Telekom Austria AG</t>
  </si>
  <si>
    <t>TKA</t>
  </si>
  <si>
    <t>87943Q109</t>
  </si>
  <si>
    <t>TKA US</t>
  </si>
  <si>
    <t>Telefonica Moviles SA</t>
  </si>
  <si>
    <t>TEM</t>
  </si>
  <si>
    <t>87938V105</t>
  </si>
  <si>
    <t>Rigel Pharmaceuticals Inc</t>
  </si>
  <si>
    <t>RIGL</t>
  </si>
  <si>
    <t>766559108</t>
  </si>
  <si>
    <t>2000-11-28</t>
  </si>
  <si>
    <t>RIGEL PHARMACEUTICALS INC</t>
  </si>
  <si>
    <t>2000-11-29</t>
  </si>
  <si>
    <t>Telenor AS(Norway)</t>
  </si>
  <si>
    <t>TELN</t>
  </si>
  <si>
    <t>87944W105</t>
  </si>
  <si>
    <t>2000-12-04</t>
  </si>
  <si>
    <t>TELN US</t>
  </si>
  <si>
    <t>Telenor ASA</t>
  </si>
  <si>
    <t>Harvard Bioscience Inc</t>
  </si>
  <si>
    <t>HBIO</t>
  </si>
  <si>
    <t>416906105</t>
  </si>
  <si>
    <t>2000-12-07</t>
  </si>
  <si>
    <t>HARVARD BIOSCIENCE INC</t>
  </si>
  <si>
    <t>Specialty Laboratories</t>
  </si>
  <si>
    <t>SP</t>
  </si>
  <si>
    <t>84749R100</t>
  </si>
  <si>
    <t>0911013D</t>
  </si>
  <si>
    <t>SPECIALTY LABORATORIES INC</t>
  </si>
  <si>
    <t>2000-12-08</t>
  </si>
  <si>
    <t>Stewart W P Co Ltd</t>
  </si>
  <si>
    <t>WPL</t>
  </si>
  <si>
    <t>G84922106</t>
  </si>
  <si>
    <t>WPSL</t>
  </si>
  <si>
    <t>W.P. STEWART &amp; CO LTD</t>
  </si>
  <si>
    <t>Garmin Ltd</t>
  </si>
  <si>
    <t>GRMN</t>
  </si>
  <si>
    <t>G37260109</t>
  </si>
  <si>
    <t>GRMN US</t>
  </si>
  <si>
    <t>American Physicians Capital</t>
  </si>
  <si>
    <t>ACAP</t>
  </si>
  <si>
    <t>028884104</t>
  </si>
  <si>
    <t>AMERICAN PHYSICIANS CAPITAL</t>
  </si>
  <si>
    <t>Gemplus International SA</t>
  </si>
  <si>
    <t>GEMP</t>
  </si>
  <si>
    <t>36866Y102</t>
  </si>
  <si>
    <t>GEMP US</t>
  </si>
  <si>
    <t>MetaVia Inc</t>
  </si>
  <si>
    <t>GenVec</t>
  </si>
  <si>
    <t>GNVC</t>
  </si>
  <si>
    <t>37246C109</t>
  </si>
  <si>
    <t>2000-12-11</t>
  </si>
  <si>
    <t>GENVEC INC</t>
  </si>
  <si>
    <t>2000-12-12</t>
  </si>
  <si>
    <t>Resources Connection Inc</t>
  </si>
  <si>
    <t>RECN</t>
  </si>
  <si>
    <t>76122Q105</t>
  </si>
  <si>
    <t>2000-12-14</t>
  </si>
  <si>
    <t>RGP</t>
  </si>
  <si>
    <t>RESOURCES CONNECTION INC</t>
  </si>
  <si>
    <t>2000-12-15</t>
  </si>
  <si>
    <t>Rows with proceeds</t>
  </si>
  <si>
    <t>Total captured ($mm, mixed scope)</t>
  </si>
  <si>
    <t>Domestic captured ($mm)</t>
  </si>
  <si>
    <t>Ritter domestic benchmark ($mm)</t>
  </si>
  <si>
    <t>Domestic FINAL total ($mm) — ties to Ritter by construction</t>
  </si>
  <si>
    <t>All-in FINAL total ($mm, incl. ADR globals; 37 ADR gaps still open)</t>
  </si>
  <si>
    <t>Plug per name ($mm), 75 domestic gap names</t>
  </si>
  <si>
    <t>Ticker</t>
  </si>
  <si>
    <t>Offer Date</t>
  </si>
  <si>
    <t>Status</t>
  </si>
  <si>
    <t>Suggested Next Source</t>
  </si>
  <si>
    <t>Kenney-Patton / EDGAR 424B</t>
  </si>
  <si>
    <t>Web (global offering size) / prospectus</t>
  </si>
  <si>
    <t>BBG Ticker</t>
  </si>
  <si>
    <t>IPO Date</t>
  </si>
  <si>
    <t>Shares</t>
  </si>
  <si>
    <t>Gross Proceeds ($mm)</t>
  </si>
  <si>
    <t>0556728D</t>
  </si>
  <si>
    <t>COGENICS ICORIA INC</t>
  </si>
  <si>
    <t>1297092D</t>
  </si>
  <si>
    <t>INFOR GLOBAL SOLUTIONS MASSA</t>
  </si>
  <si>
    <t>1389976D</t>
  </si>
  <si>
    <t>CBCT BANCSHARES INC</t>
  </si>
  <si>
    <t>1702253D</t>
  </si>
  <si>
    <t>TOWERS WATSON &amp; CO-CL A</t>
  </si>
  <si>
    <t>173150Q</t>
  </si>
  <si>
    <t>EQUINIX INC/OLD</t>
  </si>
  <si>
    <t>1813314D</t>
  </si>
  <si>
    <t>DANISCO US INC/CALIFORNIA</t>
  </si>
  <si>
    <t>1865574D</t>
  </si>
  <si>
    <t>FIRST SHARES BANCORP INC/IN</t>
  </si>
  <si>
    <t>2241483Q</t>
  </si>
  <si>
    <t>ARTEMIS INTERNATIONAL SOLUTI</t>
  </si>
  <si>
    <t>2460344D</t>
  </si>
  <si>
    <t>HGST TECHNOLOGIES SANTA ANA</t>
  </si>
  <si>
    <t>2573872D</t>
  </si>
  <si>
    <t>DEVX ENERGY INC</t>
  </si>
  <si>
    <t>2942739Q</t>
  </si>
  <si>
    <t>PORT FINANCIAL CORPORATION</t>
  </si>
  <si>
    <t>316623Q</t>
  </si>
  <si>
    <t>NRG ENERGY INC/OLD</t>
  </si>
  <si>
    <t>3208542Q</t>
  </si>
  <si>
    <t>SOFTWARE AG USA INC</t>
  </si>
  <si>
    <t>380406Q</t>
  </si>
  <si>
    <t>PINNACOR INC</t>
  </si>
  <si>
    <t>499711Q</t>
  </si>
  <si>
    <t>UPROAR INC</t>
  </si>
  <si>
    <t>AET</t>
  </si>
  <si>
    <t>AETNA INC</t>
  </si>
  <si>
    <t>ALMG</t>
  </si>
  <si>
    <t>ALAMOGORDO FINANCIAL CORP</t>
  </si>
  <si>
    <t>2000-05-16</t>
  </si>
  <si>
    <t>APL</t>
  </si>
  <si>
    <t>TARGA PIPELINE PARTNERS LP</t>
  </si>
  <si>
    <t>AQNT</t>
  </si>
  <si>
    <t>AQUANTIVE INC</t>
  </si>
  <si>
    <t>BBDA</t>
  </si>
  <si>
    <t>BEBIDA BEVERAGE CO</t>
  </si>
  <si>
    <t>BBT</t>
  </si>
  <si>
    <t>BEACON FINANCIAL CORP</t>
  </si>
  <si>
    <t>BKMU</t>
  </si>
  <si>
    <t>BANK MUTUAL CORP</t>
  </si>
  <si>
    <t>BWNG</t>
  </si>
  <si>
    <t>BROADWING CORP</t>
  </si>
  <si>
    <t>DVINQ</t>
  </si>
  <si>
    <t>DIVINE INC-A</t>
  </si>
  <si>
    <t>EBMT</t>
  </si>
  <si>
    <t>EAGLE BANCORP MONTANA INC</t>
  </si>
  <si>
    <t>EME</t>
  </si>
  <si>
    <t>EMCOR GROUP INC</t>
  </si>
  <si>
    <t>EXHS</t>
  </si>
  <si>
    <t>EXHAUST TECHNOLOGIES INC</t>
  </si>
  <si>
    <t>EZAU</t>
  </si>
  <si>
    <t>EZ AUCTIONS AND SHIPPING INC</t>
  </si>
  <si>
    <t>FFOL</t>
  </si>
  <si>
    <t>FIRST FEDERAL OF OLATHE BANC</t>
  </si>
  <si>
    <t>FLBC</t>
  </si>
  <si>
    <t>FINGER LAKES BANCORP INC</t>
  </si>
  <si>
    <t>IGNX</t>
  </si>
  <si>
    <t>IGN ENTERTAINMENT INC</t>
  </si>
  <si>
    <t>IGOI</t>
  </si>
  <si>
    <t>IGO INC</t>
  </si>
  <si>
    <t>ITGR</t>
  </si>
  <si>
    <t>INTEGER HOLDINGS CORP</t>
  </si>
  <si>
    <t>LNCMQ</t>
  </si>
  <si>
    <t>LENCO MOBILE INC</t>
  </si>
  <si>
    <t>MBVXQ</t>
  </si>
  <si>
    <t>MABVAX THERAPEUTICS HOLDINGS</t>
  </si>
  <si>
    <t>PCBI</t>
  </si>
  <si>
    <t>PEOPLES COMMUNITY BANCORP</t>
  </si>
  <si>
    <t>PDGI</t>
  </si>
  <si>
    <t>SYNEOS HEALTH CLINICAL INC</t>
  </si>
  <si>
    <t>PUBB</t>
  </si>
  <si>
    <t>PACIFIC UNION BANK</t>
  </si>
  <si>
    <t>RNDC</t>
  </si>
  <si>
    <t>RAINDANCE COMMUNICATIONS INC</t>
  </si>
  <si>
    <t>SBMC</t>
  </si>
  <si>
    <t>CONNECTICUT BANCSHARES INC</t>
  </si>
  <si>
    <t>SBYN</t>
  </si>
  <si>
    <t>SEEBEYOND TECHNOLOGY CORP</t>
  </si>
  <si>
    <t>SCOXQ</t>
  </si>
  <si>
    <t>SCO GROUP INC/THE</t>
  </si>
  <si>
    <t>TPTI</t>
  </si>
  <si>
    <t>TIPPINGPOINT TECHNOLOGIES</t>
  </si>
  <si>
    <t>TZMT</t>
  </si>
  <si>
    <t>TELZUIT MEDICAL TECHNOLOGIES</t>
  </si>
  <si>
    <t>VVC</t>
  </si>
  <si>
    <t>VECTREN LLC</t>
  </si>
  <si>
    <t>2000-04-03</t>
  </si>
  <si>
    <t>WAYS</t>
  </si>
  <si>
    <t>WAVE SYNC CORP</t>
  </si>
  <si>
    <t>2000-07-04</t>
  </si>
  <si>
    <t>WFSM</t>
  </si>
  <si>
    <t>WESTBOROUGH FINANCIAL SVCS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</si>
</sst>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\$#,##0.0"/>
    <numFmt numFmtId="166" formatCode="0.0%"/>
    <numFmt numFmtId="167" formatCode="\$#,##0"/>
  </numFmts>
  <fonts count="5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165" fontId="4" fillId="0" borderId="0" xfId="0" applyNumberFormat="1" applyFont="1"/>
    <xf numFmtId="16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zoomScaleNormal="100" workbookViewId="0"/>
  </sheetViews>
  <sheetFormatPr defaultColWidth="8.6640625" defaultRowHeight="14.4" x14ac:dyDescent="0.3"/>
  <cols>
    <col min="1" max="1" width="40" customWidth="1"/>
    <col min="2" max="2" width="120" customWidth="1"/>
  </cols>
  <sheetData>
    <row r="1" spans="1:2" ht="15" customHeight="1" x14ac:dyDescent="0.3">
      <c r="A1" s="1" t="s">
        <v>0</v>
      </c>
      <c r="B1" s="2"/>
    </row>
    <row r="2" spans="1:2" ht="15" customHeight="1" x14ac:dyDescent="0.3">
      <c r="A2" s="1" t="s">
        <v>1</v>
      </c>
      <c r="B2" s="2"/>
    </row>
    <row r="3" spans="1:2" ht="15" customHeight="1" x14ac:dyDescent="0.3">
      <c r="A3" s="2"/>
      <c r="B3" s="2"/>
    </row>
    <row r="4" spans="1:2" ht="15" customHeight="1" x14ac:dyDescent="0.3">
      <c r="A4" s="1" t="s">
        <v>2</v>
      </c>
      <c r="B4" s="2"/>
    </row>
    <row r="5" spans="1:2" ht="15" customHeight="1" x14ac:dyDescent="0.3">
      <c r="A5" s="2" t="s">
        <v>3</v>
      </c>
      <c r="B5" s="2" t="s">
        <v>4</v>
      </c>
    </row>
    <row r="6" spans="1:2" ht="15" customHeight="1" x14ac:dyDescent="0.3">
      <c r="A6" s="2" t="s">
        <v>5</v>
      </c>
      <c r="B6" s="2" t="s">
        <v>6</v>
      </c>
    </row>
    <row r="7" spans="1:2" ht="15" customHeight="1" x14ac:dyDescent="0.3">
      <c r="A7" s="2" t="s">
        <v>7</v>
      </c>
      <c r="B7" s="2" t="s">
        <v>8</v>
      </c>
    </row>
    <row r="8" spans="1:2" ht="15" customHeight="1" x14ac:dyDescent="0.3">
      <c r="A8" s="2"/>
      <c r="B8" s="2"/>
    </row>
    <row r="9" spans="1:2" ht="15" customHeight="1" x14ac:dyDescent="0.3">
      <c r="A9" s="2" t="s">
        <v>9</v>
      </c>
      <c r="B9" s="2" t="s">
        <v>10</v>
      </c>
    </row>
    <row r="10" spans="1:2" ht="15" customHeight="1" x14ac:dyDescent="0.3">
      <c r="A10" s="2"/>
      <c r="B10" s="2"/>
    </row>
    <row r="11" spans="1:2" ht="15" customHeight="1" x14ac:dyDescent="0.3">
      <c r="A11" s="1" t="s">
        <v>11</v>
      </c>
      <c r="B11" s="2"/>
    </row>
    <row r="12" spans="1:2" ht="15" customHeight="1" x14ac:dyDescent="0.3">
      <c r="A12" s="2" t="s">
        <v>12</v>
      </c>
      <c r="B12" s="2" t="s">
        <v>13</v>
      </c>
    </row>
    <row r="13" spans="1:2" ht="15" customHeight="1" x14ac:dyDescent="0.3">
      <c r="A13" s="2" t="s">
        <v>14</v>
      </c>
      <c r="B13" s="2" t="s">
        <v>15</v>
      </c>
    </row>
    <row r="14" spans="1:2" ht="15" customHeight="1" x14ac:dyDescent="0.3">
      <c r="A14" s="2"/>
      <c r="B14" s="2"/>
    </row>
    <row r="15" spans="1:2" ht="15" customHeight="1" x14ac:dyDescent="0.3">
      <c r="A15" s="1" t="s">
        <v>16</v>
      </c>
      <c r="B15" s="2"/>
    </row>
    <row r="16" spans="1:2" ht="15" customHeight="1" x14ac:dyDescent="0.3">
      <c r="A16" s="2" t="s">
        <v>17</v>
      </c>
      <c r="B16" s="2" t="s">
        <v>18</v>
      </c>
    </row>
    <row r="17" spans="1:2" ht="15" customHeight="1" x14ac:dyDescent="0.3">
      <c r="A17" s="2" t="s">
        <v>19</v>
      </c>
      <c r="B17" s="2" t="s">
        <v>20</v>
      </c>
    </row>
    <row r="18" spans="1:2" ht="15" customHeight="1" x14ac:dyDescent="0.3">
      <c r="A18" s="2" t="s">
        <v>21</v>
      </c>
      <c r="B18" s="2" t="s">
        <v>22</v>
      </c>
    </row>
    <row r="20" spans="1:2" x14ac:dyDescent="0.3">
      <c r="A20" s="1" t="s">
        <v>23</v>
      </c>
    </row>
    <row r="21" spans="1:2" x14ac:dyDescent="0.3">
      <c r="A21" s="2" t="s">
        <v>24</v>
      </c>
    </row>
    <row r="22" spans="1:2" x14ac:dyDescent="0.3">
      <c r="A22" s="2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4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2" customWidth="1"/>
    <col min="2" max="2" width="10" customWidth="1"/>
    <col min="3" max="3" width="11" customWidth="1"/>
    <col min="4" max="4" width="12" customWidth="1"/>
    <col min="5" max="5" width="6" customWidth="1"/>
    <col min="6" max="6" width="5" customWidth="1"/>
    <col min="7" max="7" width="7" customWidth="1"/>
    <col min="8" max="8" width="22" customWidth="1"/>
    <col min="9" max="9" width="11" customWidth="1"/>
    <col min="10" max="10" width="30" customWidth="1"/>
    <col min="11" max="11" width="12" customWidth="1"/>
    <col min="12" max="12" width="9" customWidth="1"/>
    <col min="13" max="13" width="11" customWidth="1"/>
    <col min="14" max="14" width="12" customWidth="1"/>
    <col min="15" max="15" width="13" customWidth="1"/>
    <col min="16" max="16" width="11" customWidth="1"/>
    <col min="17" max="17" width="55" customWidth="1"/>
    <col min="18" max="18" width="12" customWidth="1"/>
    <col min="19" max="19" width="13" customWidth="1"/>
  </cols>
  <sheetData>
    <row r="1" spans="1:19" ht="34.5" customHeight="1" x14ac:dyDescent="0.3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  <c r="S1" s="3" t="s">
        <v>44</v>
      </c>
    </row>
    <row r="2" spans="1:19" ht="15" customHeight="1" x14ac:dyDescent="0.3">
      <c r="A2" s="2" t="s">
        <v>45</v>
      </c>
      <c r="B2" s="2" t="s">
        <v>46</v>
      </c>
      <c r="C2" s="2" t="s">
        <v>47</v>
      </c>
      <c r="D2" s="2" t="s">
        <v>48</v>
      </c>
      <c r="E2" s="2">
        <v>1</v>
      </c>
      <c r="F2" s="2">
        <v>1</v>
      </c>
      <c r="G2" s="2">
        <v>1</v>
      </c>
      <c r="H2" s="2" t="s">
        <v>49</v>
      </c>
      <c r="I2" s="2" t="s">
        <v>46</v>
      </c>
      <c r="J2" s="2" t="s">
        <v>50</v>
      </c>
      <c r="K2" s="2" t="s">
        <v>48</v>
      </c>
      <c r="L2" s="4">
        <v>13</v>
      </c>
      <c r="M2" s="5">
        <v>7</v>
      </c>
      <c r="N2" s="6">
        <f>L2*M2</f>
        <v>91</v>
      </c>
      <c r="O2" s="2" t="s">
        <v>51</v>
      </c>
      <c r="P2" s="7">
        <v>2.06731</v>
      </c>
      <c r="S2" s="6">
        <f>IF(N2&lt;&gt;"",N2,"")</f>
        <v>91</v>
      </c>
    </row>
    <row r="3" spans="1:19" ht="15" customHeight="1" x14ac:dyDescent="0.3">
      <c r="A3" s="2" t="s">
        <v>52</v>
      </c>
      <c r="B3" s="2" t="s">
        <v>53</v>
      </c>
      <c r="C3" s="2" t="s">
        <v>54</v>
      </c>
      <c r="D3" s="2" t="s">
        <v>48</v>
      </c>
      <c r="E3" s="2">
        <v>1</v>
      </c>
      <c r="F3" s="2">
        <v>2</v>
      </c>
      <c r="G3" s="2">
        <v>0</v>
      </c>
      <c r="H3" s="2" t="s">
        <v>55</v>
      </c>
      <c r="I3" s="2" t="s">
        <v>56</v>
      </c>
      <c r="J3" s="2" t="s">
        <v>57</v>
      </c>
      <c r="K3" s="2" t="s">
        <v>48</v>
      </c>
      <c r="L3" s="4">
        <v>8.5</v>
      </c>
      <c r="M3" s="5">
        <v>16</v>
      </c>
      <c r="N3" s="6">
        <f>L3*M3</f>
        <v>136</v>
      </c>
      <c r="O3" s="2" t="s">
        <v>51</v>
      </c>
      <c r="P3" s="7">
        <v>0</v>
      </c>
      <c r="S3" s="6">
        <f>IF(N3&lt;&gt;"",N3,"")</f>
        <v>136</v>
      </c>
    </row>
    <row r="4" spans="1:19" ht="15" customHeight="1" x14ac:dyDescent="0.3">
      <c r="A4" s="2" t="s">
        <v>58</v>
      </c>
      <c r="B4" s="2" t="s">
        <v>59</v>
      </c>
      <c r="C4" s="2" t="s">
        <v>60</v>
      </c>
      <c r="D4" s="2" t="s">
        <v>61</v>
      </c>
      <c r="E4" s="2">
        <v>1</v>
      </c>
      <c r="F4" s="2">
        <v>0</v>
      </c>
      <c r="G4" s="2">
        <v>1</v>
      </c>
      <c r="H4" s="2" t="s">
        <v>49</v>
      </c>
      <c r="I4" s="2" t="s">
        <v>59</v>
      </c>
      <c r="J4" s="2" t="s">
        <v>62</v>
      </c>
      <c r="K4" s="2" t="s">
        <v>61</v>
      </c>
      <c r="L4" s="4">
        <v>11</v>
      </c>
      <c r="M4" s="5">
        <v>3.75</v>
      </c>
      <c r="N4" s="6">
        <f>L4*M4</f>
        <v>41.25</v>
      </c>
      <c r="O4" s="2" t="s">
        <v>51</v>
      </c>
      <c r="P4" s="7">
        <v>0.227273</v>
      </c>
      <c r="S4" s="6">
        <f>IF(N4&lt;&gt;"",N4,"")</f>
        <v>41.25</v>
      </c>
    </row>
    <row r="5" spans="1:19" ht="15" customHeight="1" x14ac:dyDescent="0.3">
      <c r="A5" s="2" t="s">
        <v>63</v>
      </c>
      <c r="B5" s="2" t="s">
        <v>64</v>
      </c>
      <c r="C5" s="2" t="s">
        <v>65</v>
      </c>
      <c r="D5" s="2" t="s">
        <v>66</v>
      </c>
      <c r="E5" s="2">
        <v>1</v>
      </c>
      <c r="F5" s="2">
        <v>1</v>
      </c>
      <c r="G5" s="2">
        <v>0</v>
      </c>
      <c r="H5" s="8" t="s">
        <v>67</v>
      </c>
      <c r="I5" s="2" t="s">
        <v>68</v>
      </c>
      <c r="J5" s="2" t="s">
        <v>69</v>
      </c>
      <c r="R5" s="9">
        <v>135</v>
      </c>
      <c r="S5" s="6">
        <f>R5</f>
        <v>135</v>
      </c>
    </row>
    <row r="6" spans="1:19" ht="15" customHeight="1" x14ac:dyDescent="0.3">
      <c r="A6" s="2" t="s">
        <v>70</v>
      </c>
      <c r="B6" s="2" t="s">
        <v>71</v>
      </c>
      <c r="C6" s="2" t="s">
        <v>72</v>
      </c>
      <c r="D6" s="2" t="s">
        <v>66</v>
      </c>
      <c r="E6" s="2">
        <v>1</v>
      </c>
      <c r="F6" s="2">
        <v>0</v>
      </c>
      <c r="G6" s="2">
        <v>0</v>
      </c>
      <c r="H6" s="2" t="s">
        <v>49</v>
      </c>
      <c r="I6" s="2" t="s">
        <v>71</v>
      </c>
      <c r="J6" s="2" t="s">
        <v>73</v>
      </c>
      <c r="K6" s="2" t="s">
        <v>66</v>
      </c>
      <c r="L6" s="4">
        <v>17</v>
      </c>
      <c r="M6" s="5">
        <v>102</v>
      </c>
      <c r="N6" s="6">
        <f>L6*M6</f>
        <v>1734</v>
      </c>
      <c r="O6" s="2" t="s">
        <v>51</v>
      </c>
      <c r="P6" s="7">
        <v>4.41176E-2</v>
      </c>
      <c r="S6" s="6">
        <f>IF(N6&lt;&gt;"",N6,"")</f>
        <v>1734</v>
      </c>
    </row>
    <row r="7" spans="1:19" ht="15" customHeight="1" x14ac:dyDescent="0.3">
      <c r="A7" s="2" t="s">
        <v>74</v>
      </c>
      <c r="B7" s="2" t="s">
        <v>75</v>
      </c>
      <c r="C7" s="2" t="s">
        <v>76</v>
      </c>
      <c r="D7" s="2" t="s">
        <v>66</v>
      </c>
      <c r="E7" s="2">
        <v>1</v>
      </c>
      <c r="F7" s="2">
        <v>1</v>
      </c>
      <c r="G7" s="2">
        <v>0</v>
      </c>
      <c r="H7" s="2" t="s">
        <v>49</v>
      </c>
      <c r="I7" s="2" t="s">
        <v>77</v>
      </c>
      <c r="J7" s="2" t="s">
        <v>78</v>
      </c>
      <c r="K7" s="2" t="s">
        <v>61</v>
      </c>
      <c r="L7" s="4">
        <v>10</v>
      </c>
      <c r="M7" s="5">
        <v>3</v>
      </c>
      <c r="N7" s="6">
        <f>L7*M7</f>
        <v>30</v>
      </c>
      <c r="O7" s="2" t="s">
        <v>51</v>
      </c>
      <c r="P7" s="7">
        <v>0.97499999999999998</v>
      </c>
      <c r="S7" s="6">
        <f>IF(N7&lt;&gt;"",N7,"")</f>
        <v>30</v>
      </c>
    </row>
    <row r="8" spans="1:19" ht="15" customHeight="1" x14ac:dyDescent="0.3">
      <c r="A8" s="2" t="s">
        <v>79</v>
      </c>
      <c r="B8" s="2" t="s">
        <v>80</v>
      </c>
      <c r="C8" s="2" t="s">
        <v>81</v>
      </c>
      <c r="D8" s="2" t="s">
        <v>82</v>
      </c>
      <c r="E8" s="2">
        <v>1</v>
      </c>
      <c r="F8" s="2">
        <v>0</v>
      </c>
      <c r="G8" s="2">
        <v>0</v>
      </c>
      <c r="H8" s="2" t="s">
        <v>49</v>
      </c>
      <c r="I8" s="2" t="s">
        <v>80</v>
      </c>
      <c r="J8" s="2" t="s">
        <v>83</v>
      </c>
      <c r="K8" s="2" t="s">
        <v>82</v>
      </c>
      <c r="L8" s="4">
        <v>12</v>
      </c>
      <c r="M8" s="5">
        <v>46.25</v>
      </c>
      <c r="N8" s="6">
        <f>L8*M8</f>
        <v>555</v>
      </c>
      <c r="O8" s="2" t="s">
        <v>51</v>
      </c>
      <c r="P8" s="7">
        <v>0</v>
      </c>
      <c r="S8" s="6">
        <f>IF(N8&lt;&gt;"",N8,"")</f>
        <v>555</v>
      </c>
    </row>
    <row r="9" spans="1:19" ht="15" customHeight="1" x14ac:dyDescent="0.3">
      <c r="A9" s="2" t="s">
        <v>84</v>
      </c>
      <c r="B9" s="2" t="s">
        <v>85</v>
      </c>
      <c r="C9" s="2" t="s">
        <v>86</v>
      </c>
      <c r="D9" s="2" t="s">
        <v>82</v>
      </c>
      <c r="E9" s="2">
        <v>1</v>
      </c>
      <c r="F9" s="2">
        <v>0</v>
      </c>
      <c r="G9" s="2">
        <v>0</v>
      </c>
      <c r="H9" s="2" t="s">
        <v>49</v>
      </c>
      <c r="I9" s="2" t="s">
        <v>87</v>
      </c>
      <c r="J9" s="2" t="s">
        <v>88</v>
      </c>
      <c r="K9" s="2" t="s">
        <v>89</v>
      </c>
      <c r="L9" s="4">
        <v>10</v>
      </c>
      <c r="M9" s="5">
        <v>7.5</v>
      </c>
      <c r="N9" s="6">
        <f>L9*M9</f>
        <v>75</v>
      </c>
      <c r="O9" s="2" t="s">
        <v>51</v>
      </c>
      <c r="P9" s="7">
        <v>0.1125</v>
      </c>
      <c r="S9" s="6">
        <f>IF(N9&lt;&gt;"",N9,"")</f>
        <v>75</v>
      </c>
    </row>
    <row r="10" spans="1:19" ht="15" customHeight="1" x14ac:dyDescent="0.3">
      <c r="A10" s="2" t="s">
        <v>90</v>
      </c>
      <c r="B10" s="2" t="s">
        <v>91</v>
      </c>
      <c r="C10" s="2" t="s">
        <v>92</v>
      </c>
      <c r="D10" s="2" t="s">
        <v>82</v>
      </c>
      <c r="E10" s="2">
        <v>1</v>
      </c>
      <c r="F10" s="2">
        <v>0</v>
      </c>
      <c r="G10" s="2">
        <v>1</v>
      </c>
      <c r="H10" s="8" t="s">
        <v>67</v>
      </c>
      <c r="I10" s="2" t="s">
        <v>93</v>
      </c>
      <c r="J10" s="2" t="s">
        <v>90</v>
      </c>
      <c r="K10" s="2" t="s">
        <v>82</v>
      </c>
      <c r="R10" s="9">
        <v>135</v>
      </c>
      <c r="S10" s="6">
        <f>R10</f>
        <v>135</v>
      </c>
    </row>
    <row r="11" spans="1:19" ht="15" customHeight="1" x14ac:dyDescent="0.3">
      <c r="A11" s="2" t="s">
        <v>94</v>
      </c>
      <c r="B11" s="2" t="s">
        <v>95</v>
      </c>
      <c r="C11" s="2" t="s">
        <v>96</v>
      </c>
      <c r="D11" s="2" t="s">
        <v>82</v>
      </c>
      <c r="E11" s="2">
        <v>1</v>
      </c>
      <c r="F11" s="2">
        <v>1</v>
      </c>
      <c r="G11" s="2">
        <v>0</v>
      </c>
      <c r="H11" s="2" t="s">
        <v>49</v>
      </c>
      <c r="I11" s="2" t="s">
        <v>95</v>
      </c>
      <c r="J11" s="2" t="s">
        <v>97</v>
      </c>
      <c r="K11" s="2" t="s">
        <v>82</v>
      </c>
      <c r="L11" s="4">
        <v>15</v>
      </c>
      <c r="M11" s="5">
        <v>3.5</v>
      </c>
      <c r="N11" s="6">
        <f>L11*M11</f>
        <v>52.5</v>
      </c>
      <c r="O11" s="2" t="s">
        <v>51</v>
      </c>
      <c r="P11" s="7">
        <v>0</v>
      </c>
      <c r="S11" s="6">
        <f>IF(N11&lt;&gt;"",N11,"")</f>
        <v>52.5</v>
      </c>
    </row>
    <row r="12" spans="1:19" ht="15" customHeight="1" x14ac:dyDescent="0.3">
      <c r="A12" s="2" t="s">
        <v>98</v>
      </c>
      <c r="B12" s="2" t="s">
        <v>99</v>
      </c>
      <c r="C12" s="2" t="s">
        <v>100</v>
      </c>
      <c r="D12" s="2" t="s">
        <v>89</v>
      </c>
      <c r="E12" s="2">
        <v>1</v>
      </c>
      <c r="F12" s="2">
        <v>0</v>
      </c>
      <c r="G12" s="2">
        <v>0</v>
      </c>
      <c r="H12" s="2" t="s">
        <v>49</v>
      </c>
      <c r="I12" s="2" t="s">
        <v>99</v>
      </c>
      <c r="J12" s="2" t="s">
        <v>101</v>
      </c>
      <c r="K12" s="2" t="s">
        <v>82</v>
      </c>
      <c r="L12" s="4">
        <v>16</v>
      </c>
      <c r="M12" s="5">
        <v>4.3719999999999999</v>
      </c>
      <c r="N12" s="6">
        <f>L12*M12</f>
        <v>69.951999999999998</v>
      </c>
      <c r="O12" s="2" t="s">
        <v>51</v>
      </c>
      <c r="P12" s="7">
        <v>0.125</v>
      </c>
      <c r="S12" s="6">
        <f>IF(N12&lt;&gt;"",N12,"")</f>
        <v>69.951999999999998</v>
      </c>
    </row>
    <row r="13" spans="1:19" ht="15" customHeight="1" x14ac:dyDescent="0.3">
      <c r="A13" s="2" t="s">
        <v>102</v>
      </c>
      <c r="B13" s="2" t="s">
        <v>103</v>
      </c>
      <c r="C13" s="2" t="s">
        <v>104</v>
      </c>
      <c r="D13" s="2" t="s">
        <v>89</v>
      </c>
      <c r="E13" s="2">
        <v>1</v>
      </c>
      <c r="F13" s="2">
        <v>1</v>
      </c>
      <c r="G13" s="2">
        <v>0</v>
      </c>
      <c r="H13" s="8" t="s">
        <v>67</v>
      </c>
      <c r="I13" s="2" t="s">
        <v>105</v>
      </c>
      <c r="J13" s="2" t="s">
        <v>106</v>
      </c>
      <c r="K13" s="2" t="s">
        <v>82</v>
      </c>
      <c r="R13" s="9">
        <v>135</v>
      </c>
      <c r="S13" s="6">
        <f>R13</f>
        <v>135</v>
      </c>
    </row>
    <row r="14" spans="1:19" ht="15" customHeight="1" x14ac:dyDescent="0.3">
      <c r="A14" s="2" t="s">
        <v>107</v>
      </c>
      <c r="B14" s="2" t="s">
        <v>108</v>
      </c>
      <c r="C14" s="2" t="s">
        <v>109</v>
      </c>
      <c r="D14" s="2" t="s">
        <v>89</v>
      </c>
      <c r="E14" s="2">
        <v>1</v>
      </c>
      <c r="F14" s="2">
        <v>1</v>
      </c>
      <c r="G14" s="2">
        <v>1</v>
      </c>
      <c r="H14" s="2" t="s">
        <v>55</v>
      </c>
      <c r="I14" s="2" t="s">
        <v>110</v>
      </c>
      <c r="J14" s="2" t="s">
        <v>111</v>
      </c>
      <c r="K14" s="2" t="s">
        <v>82</v>
      </c>
      <c r="L14" s="4">
        <v>15</v>
      </c>
      <c r="M14" s="5">
        <v>6.5</v>
      </c>
      <c r="N14" s="6">
        <f>L14*M14</f>
        <v>97.5</v>
      </c>
      <c r="O14" s="2" t="s">
        <v>51</v>
      </c>
      <c r="P14" s="7">
        <v>0.6</v>
      </c>
      <c r="S14" s="6">
        <f>IF(N14&lt;&gt;"",N14,"")</f>
        <v>97.5</v>
      </c>
    </row>
    <row r="15" spans="1:19" ht="15" customHeight="1" x14ac:dyDescent="0.3">
      <c r="A15" s="2" t="s">
        <v>112</v>
      </c>
      <c r="B15" s="2" t="s">
        <v>113</v>
      </c>
      <c r="C15" s="2" t="s">
        <v>114</v>
      </c>
      <c r="D15" s="2" t="s">
        <v>89</v>
      </c>
      <c r="E15" s="2">
        <v>2</v>
      </c>
      <c r="F15" s="2">
        <v>0</v>
      </c>
      <c r="G15" s="2">
        <v>0</v>
      </c>
      <c r="H15" s="2" t="s">
        <v>115</v>
      </c>
      <c r="I15" s="2" t="s">
        <v>116</v>
      </c>
      <c r="J15" s="2" t="s">
        <v>117</v>
      </c>
      <c r="S15" s="6" t="str">
        <f>IF(N15&lt;&gt;"",N15,"")</f>
        <v/>
      </c>
    </row>
    <row r="16" spans="1:19" ht="15" customHeight="1" x14ac:dyDescent="0.3">
      <c r="A16" s="2" t="s">
        <v>118</v>
      </c>
      <c r="B16" s="2" t="s">
        <v>119</v>
      </c>
      <c r="C16" s="2" t="s">
        <v>120</v>
      </c>
      <c r="D16" s="2" t="s">
        <v>121</v>
      </c>
      <c r="E16" s="2">
        <v>1</v>
      </c>
      <c r="F16" s="2">
        <v>1</v>
      </c>
      <c r="G16" s="2">
        <v>0</v>
      </c>
      <c r="H16" s="2" t="s">
        <v>55</v>
      </c>
      <c r="I16" s="2" t="s">
        <v>122</v>
      </c>
      <c r="J16" s="2" t="s">
        <v>123</v>
      </c>
      <c r="K16" s="2" t="s">
        <v>121</v>
      </c>
      <c r="L16" s="4">
        <v>17</v>
      </c>
      <c r="M16" s="5">
        <v>4</v>
      </c>
      <c r="N16" s="6">
        <f>L16*M16</f>
        <v>68</v>
      </c>
      <c r="O16" s="2" t="s">
        <v>51</v>
      </c>
      <c r="P16" s="7">
        <v>1.8235300000000001</v>
      </c>
      <c r="S16" s="6">
        <f>IF(N16&lt;&gt;"",N16,"")</f>
        <v>68</v>
      </c>
    </row>
    <row r="17" spans="1:19" ht="15" customHeight="1" x14ac:dyDescent="0.3">
      <c r="A17" s="2" t="s">
        <v>124</v>
      </c>
      <c r="B17" s="2" t="s">
        <v>125</v>
      </c>
      <c r="C17" s="2" t="s">
        <v>126</v>
      </c>
      <c r="D17" s="2" t="s">
        <v>121</v>
      </c>
      <c r="E17" s="2">
        <v>1</v>
      </c>
      <c r="F17" s="2">
        <v>1</v>
      </c>
      <c r="G17" s="2">
        <v>1</v>
      </c>
      <c r="H17" s="2" t="s">
        <v>49</v>
      </c>
      <c r="I17" s="2" t="s">
        <v>127</v>
      </c>
      <c r="J17" s="2" t="s">
        <v>128</v>
      </c>
      <c r="K17" s="2" t="s">
        <v>129</v>
      </c>
      <c r="L17" s="4">
        <v>29</v>
      </c>
      <c r="M17" s="5">
        <v>3</v>
      </c>
      <c r="N17" s="6">
        <f>L17*M17</f>
        <v>87</v>
      </c>
      <c r="O17" s="2" t="s">
        <v>51</v>
      </c>
      <c r="P17" s="7">
        <v>2.10345</v>
      </c>
      <c r="S17" s="6">
        <f>IF(N17&lt;&gt;"",N17,"")</f>
        <v>87</v>
      </c>
    </row>
    <row r="18" spans="1:19" ht="15" customHeight="1" x14ac:dyDescent="0.3">
      <c r="A18" s="2" t="s">
        <v>130</v>
      </c>
      <c r="B18" s="2" t="s">
        <v>131</v>
      </c>
      <c r="C18" s="2" t="s">
        <v>132</v>
      </c>
      <c r="D18" s="2" t="s">
        <v>121</v>
      </c>
      <c r="E18" s="2">
        <v>1</v>
      </c>
      <c r="F18" s="2">
        <v>1</v>
      </c>
      <c r="G18" s="2">
        <v>1</v>
      </c>
      <c r="H18" s="2" t="s">
        <v>49</v>
      </c>
      <c r="I18" s="2" t="s">
        <v>133</v>
      </c>
      <c r="J18" s="2" t="s">
        <v>134</v>
      </c>
      <c r="K18" s="2" t="s">
        <v>129</v>
      </c>
      <c r="L18" s="4">
        <v>14</v>
      </c>
      <c r="M18" s="5">
        <v>3.1</v>
      </c>
      <c r="N18" s="6">
        <f>L18*M18</f>
        <v>43.4</v>
      </c>
      <c r="O18" s="2" t="s">
        <v>51</v>
      </c>
      <c r="P18" s="7">
        <v>0.28571400000000002</v>
      </c>
      <c r="S18" s="6">
        <f>IF(N18&lt;&gt;"",N18,"")</f>
        <v>43.4</v>
      </c>
    </row>
    <row r="19" spans="1:19" ht="15" customHeight="1" x14ac:dyDescent="0.3">
      <c r="A19" s="2" t="s">
        <v>135</v>
      </c>
      <c r="B19" s="2" t="s">
        <v>136</v>
      </c>
      <c r="C19" s="2" t="s">
        <v>137</v>
      </c>
      <c r="D19" s="2" t="s">
        <v>121</v>
      </c>
      <c r="E19" s="2">
        <v>1</v>
      </c>
      <c r="F19" s="2">
        <v>0</v>
      </c>
      <c r="G19" s="2">
        <v>1</v>
      </c>
      <c r="H19" s="8" t="s">
        <v>138</v>
      </c>
      <c r="R19" s="9">
        <v>135</v>
      </c>
      <c r="S19" s="6">
        <f>R19</f>
        <v>135</v>
      </c>
    </row>
    <row r="20" spans="1:19" ht="15" customHeight="1" x14ac:dyDescent="0.3">
      <c r="A20" s="2" t="s">
        <v>139</v>
      </c>
      <c r="B20" s="2" t="s">
        <v>140</v>
      </c>
      <c r="C20" s="2" t="s">
        <v>141</v>
      </c>
      <c r="D20" s="2" t="s">
        <v>121</v>
      </c>
      <c r="E20" s="2">
        <v>1</v>
      </c>
      <c r="F20" s="2">
        <v>1</v>
      </c>
      <c r="G20" s="2">
        <v>0</v>
      </c>
      <c r="H20" s="2" t="s">
        <v>49</v>
      </c>
      <c r="I20" s="2" t="s">
        <v>140</v>
      </c>
      <c r="J20" s="2" t="s">
        <v>142</v>
      </c>
      <c r="K20" s="2" t="s">
        <v>129</v>
      </c>
      <c r="L20" s="4">
        <v>16</v>
      </c>
      <c r="M20" s="5">
        <v>3.72</v>
      </c>
      <c r="N20" s="6">
        <f t="shared" ref="N20:N37" si="0">L20*M20</f>
        <v>59.52</v>
      </c>
      <c r="O20" s="2" t="s">
        <v>51</v>
      </c>
      <c r="P20" s="7">
        <v>1.45312</v>
      </c>
      <c r="S20" s="6">
        <f t="shared" ref="S20:S37" si="1">IF(N20&lt;&gt;"",N20,"")</f>
        <v>59.52</v>
      </c>
    </row>
    <row r="21" spans="1:19" ht="15" customHeight="1" x14ac:dyDescent="0.3">
      <c r="A21" s="2" t="s">
        <v>143</v>
      </c>
      <c r="B21" s="2" t="s">
        <v>144</v>
      </c>
      <c r="C21" s="2" t="s">
        <v>145</v>
      </c>
      <c r="D21" s="2" t="s">
        <v>121</v>
      </c>
      <c r="E21" s="2">
        <v>1</v>
      </c>
      <c r="F21" s="2">
        <v>1</v>
      </c>
      <c r="G21" s="2">
        <v>0</v>
      </c>
      <c r="H21" s="2" t="s">
        <v>49</v>
      </c>
      <c r="I21" s="2" t="s">
        <v>144</v>
      </c>
      <c r="J21" s="2" t="s">
        <v>146</v>
      </c>
      <c r="K21" s="2" t="s">
        <v>129</v>
      </c>
      <c r="L21" s="4">
        <v>26</v>
      </c>
      <c r="M21" s="5">
        <v>5.25</v>
      </c>
      <c r="N21" s="6">
        <f t="shared" si="0"/>
        <v>136.5</v>
      </c>
      <c r="O21" s="2" t="s">
        <v>51</v>
      </c>
      <c r="P21" s="7">
        <v>1.7307699999999999</v>
      </c>
      <c r="S21" s="6">
        <f t="shared" si="1"/>
        <v>136.5</v>
      </c>
    </row>
    <row r="22" spans="1:19" ht="15" customHeight="1" x14ac:dyDescent="0.3">
      <c r="A22" s="2" t="s">
        <v>147</v>
      </c>
      <c r="B22" s="2" t="s">
        <v>148</v>
      </c>
      <c r="C22" s="2" t="s">
        <v>149</v>
      </c>
      <c r="D22" s="2" t="s">
        <v>150</v>
      </c>
      <c r="E22" s="2">
        <v>1</v>
      </c>
      <c r="F22" s="2">
        <v>1</v>
      </c>
      <c r="G22" s="2">
        <v>1</v>
      </c>
      <c r="H22" s="2" t="s">
        <v>49</v>
      </c>
      <c r="I22" s="2" t="s">
        <v>151</v>
      </c>
      <c r="J22" s="2" t="s">
        <v>152</v>
      </c>
      <c r="K22" s="2" t="s">
        <v>150</v>
      </c>
      <c r="L22" s="4">
        <v>14</v>
      </c>
      <c r="M22" s="5">
        <v>5</v>
      </c>
      <c r="N22" s="6">
        <f t="shared" si="0"/>
        <v>70</v>
      </c>
      <c r="O22" s="2" t="s">
        <v>51</v>
      </c>
      <c r="P22" s="7">
        <v>1.39286</v>
      </c>
      <c r="S22" s="6">
        <f t="shared" si="1"/>
        <v>70</v>
      </c>
    </row>
    <row r="23" spans="1:19" ht="15" customHeight="1" x14ac:dyDescent="0.3">
      <c r="A23" s="2" t="s">
        <v>153</v>
      </c>
      <c r="B23" s="2" t="s">
        <v>154</v>
      </c>
      <c r="C23" s="2" t="s">
        <v>155</v>
      </c>
      <c r="D23" s="2" t="s">
        <v>156</v>
      </c>
      <c r="E23" s="2">
        <v>1</v>
      </c>
      <c r="F23" s="2">
        <v>0</v>
      </c>
      <c r="G23" s="2">
        <v>0</v>
      </c>
      <c r="H23" s="2" t="s">
        <v>49</v>
      </c>
      <c r="I23" s="2" t="s">
        <v>157</v>
      </c>
      <c r="J23" s="2" t="s">
        <v>158</v>
      </c>
      <c r="K23" s="2" t="s">
        <v>150</v>
      </c>
      <c r="L23" s="4">
        <v>17</v>
      </c>
      <c r="M23" s="5">
        <v>10.714</v>
      </c>
      <c r="N23" s="6">
        <f t="shared" si="0"/>
        <v>182.13800000000001</v>
      </c>
      <c r="O23" s="2" t="s">
        <v>51</v>
      </c>
      <c r="P23" s="7">
        <v>0.82352899999999996</v>
      </c>
      <c r="S23" s="6">
        <f t="shared" si="1"/>
        <v>182.13800000000001</v>
      </c>
    </row>
    <row r="24" spans="1:19" ht="15" customHeight="1" x14ac:dyDescent="0.3">
      <c r="A24" s="2" t="s">
        <v>159</v>
      </c>
      <c r="B24" s="2" t="s">
        <v>160</v>
      </c>
      <c r="C24" s="2" t="s">
        <v>161</v>
      </c>
      <c r="D24" s="2" t="s">
        <v>156</v>
      </c>
      <c r="E24" s="2">
        <v>1</v>
      </c>
      <c r="F24" s="2">
        <v>0</v>
      </c>
      <c r="G24" s="2">
        <v>0</v>
      </c>
      <c r="H24" s="2" t="s">
        <v>49</v>
      </c>
      <c r="I24" s="2" t="s">
        <v>160</v>
      </c>
      <c r="J24" s="2" t="s">
        <v>162</v>
      </c>
      <c r="K24" s="2" t="s">
        <v>156</v>
      </c>
      <c r="L24" s="4">
        <v>18</v>
      </c>
      <c r="M24" s="5">
        <v>3.5</v>
      </c>
      <c r="N24" s="6">
        <f t="shared" si="0"/>
        <v>63</v>
      </c>
      <c r="O24" s="2" t="s">
        <v>51</v>
      </c>
      <c r="P24" s="7">
        <v>1.2777799999999999</v>
      </c>
      <c r="S24" s="6">
        <f t="shared" si="1"/>
        <v>63</v>
      </c>
    </row>
    <row r="25" spans="1:19" ht="15" customHeight="1" x14ac:dyDescent="0.3">
      <c r="A25" s="2" t="s">
        <v>163</v>
      </c>
      <c r="B25" s="2" t="s">
        <v>164</v>
      </c>
      <c r="C25" s="2" t="s">
        <v>165</v>
      </c>
      <c r="D25" s="2" t="s">
        <v>156</v>
      </c>
      <c r="E25" s="2">
        <v>1</v>
      </c>
      <c r="F25" s="2">
        <v>1</v>
      </c>
      <c r="G25" s="2">
        <v>0</v>
      </c>
      <c r="H25" s="2" t="s">
        <v>49</v>
      </c>
      <c r="I25" s="2" t="s">
        <v>164</v>
      </c>
      <c r="J25" s="2" t="s">
        <v>166</v>
      </c>
      <c r="K25" s="2" t="s">
        <v>156</v>
      </c>
      <c r="L25" s="4">
        <v>36</v>
      </c>
      <c r="M25" s="5">
        <v>6</v>
      </c>
      <c r="N25" s="6">
        <f t="shared" si="0"/>
        <v>216</v>
      </c>
      <c r="O25" s="2" t="s">
        <v>51</v>
      </c>
      <c r="P25" s="7">
        <v>3.7222200000000001</v>
      </c>
      <c r="S25" s="6">
        <f t="shared" si="1"/>
        <v>216</v>
      </c>
    </row>
    <row r="26" spans="1:19" ht="15" customHeight="1" x14ac:dyDescent="0.3">
      <c r="A26" s="2" t="s">
        <v>167</v>
      </c>
      <c r="B26" s="2" t="s">
        <v>168</v>
      </c>
      <c r="C26" s="2" t="s">
        <v>169</v>
      </c>
      <c r="D26" s="2" t="s">
        <v>156</v>
      </c>
      <c r="E26" s="2">
        <v>1</v>
      </c>
      <c r="F26" s="2">
        <v>0</v>
      </c>
      <c r="G26" s="2">
        <v>0</v>
      </c>
      <c r="H26" s="2" t="s">
        <v>49</v>
      </c>
      <c r="I26" s="2" t="s">
        <v>170</v>
      </c>
      <c r="J26" s="2" t="s">
        <v>171</v>
      </c>
      <c r="K26" s="2" t="s">
        <v>156</v>
      </c>
      <c r="L26" s="4">
        <v>22</v>
      </c>
      <c r="M26" s="5">
        <v>25</v>
      </c>
      <c r="N26" s="6">
        <f t="shared" si="0"/>
        <v>550</v>
      </c>
      <c r="O26" s="2" t="s">
        <v>51</v>
      </c>
      <c r="P26" s="7">
        <v>0.142045</v>
      </c>
      <c r="S26" s="6">
        <f t="shared" si="1"/>
        <v>550</v>
      </c>
    </row>
    <row r="27" spans="1:19" ht="15" customHeight="1" x14ac:dyDescent="0.3">
      <c r="A27" s="2" t="s">
        <v>172</v>
      </c>
      <c r="B27" s="2" t="s">
        <v>173</v>
      </c>
      <c r="C27" s="2" t="s">
        <v>174</v>
      </c>
      <c r="D27" s="2" t="s">
        <v>156</v>
      </c>
      <c r="E27" s="2">
        <v>1</v>
      </c>
      <c r="F27" s="2">
        <v>1</v>
      </c>
      <c r="G27" s="2">
        <v>0</v>
      </c>
      <c r="H27" s="2" t="s">
        <v>49</v>
      </c>
      <c r="I27" s="2" t="s">
        <v>173</v>
      </c>
      <c r="J27" s="2" t="s">
        <v>175</v>
      </c>
      <c r="K27" s="2" t="s">
        <v>156</v>
      </c>
      <c r="L27" s="4">
        <v>19</v>
      </c>
      <c r="M27" s="5">
        <v>20</v>
      </c>
      <c r="N27" s="6">
        <f t="shared" si="0"/>
        <v>380</v>
      </c>
      <c r="O27" s="2" t="s">
        <v>51</v>
      </c>
      <c r="P27" s="7">
        <v>5.2631600000000001E-2</v>
      </c>
      <c r="S27" s="6">
        <f t="shared" si="1"/>
        <v>380</v>
      </c>
    </row>
    <row r="28" spans="1:19" ht="15" customHeight="1" x14ac:dyDescent="0.3">
      <c r="A28" s="2" t="s">
        <v>176</v>
      </c>
      <c r="B28" s="2" t="s">
        <v>177</v>
      </c>
      <c r="C28" s="2" t="s">
        <v>178</v>
      </c>
      <c r="D28" s="2" t="s">
        <v>156</v>
      </c>
      <c r="E28" s="2">
        <v>1</v>
      </c>
      <c r="F28" s="2">
        <v>0</v>
      </c>
      <c r="G28" s="2">
        <v>0</v>
      </c>
      <c r="H28" s="2" t="s">
        <v>49</v>
      </c>
      <c r="I28" s="2" t="s">
        <v>179</v>
      </c>
      <c r="J28" s="2" t="s">
        <v>180</v>
      </c>
      <c r="K28" s="2" t="s">
        <v>156</v>
      </c>
      <c r="L28" s="4">
        <v>20</v>
      </c>
      <c r="M28" s="5">
        <v>9</v>
      </c>
      <c r="N28" s="6">
        <f t="shared" si="0"/>
        <v>180</v>
      </c>
      <c r="O28" s="2" t="s">
        <v>51</v>
      </c>
      <c r="P28" s="7">
        <v>0.57499999999999996</v>
      </c>
      <c r="S28" s="6">
        <f t="shared" si="1"/>
        <v>180</v>
      </c>
    </row>
    <row r="29" spans="1:19" ht="15" customHeight="1" x14ac:dyDescent="0.3">
      <c r="A29" s="2" t="s">
        <v>181</v>
      </c>
      <c r="B29" s="2" t="s">
        <v>182</v>
      </c>
      <c r="C29" s="2" t="s">
        <v>183</v>
      </c>
      <c r="D29" s="2" t="s">
        <v>184</v>
      </c>
      <c r="E29" s="2">
        <v>1</v>
      </c>
      <c r="F29" s="2">
        <v>1</v>
      </c>
      <c r="G29" s="2">
        <v>1</v>
      </c>
      <c r="H29" s="2" t="s">
        <v>49</v>
      </c>
      <c r="I29" s="2" t="s">
        <v>182</v>
      </c>
      <c r="J29" s="2" t="s">
        <v>185</v>
      </c>
      <c r="K29" s="2" t="s">
        <v>156</v>
      </c>
      <c r="L29" s="4">
        <v>13</v>
      </c>
      <c r="M29" s="5">
        <v>2.75</v>
      </c>
      <c r="N29" s="6">
        <f t="shared" si="0"/>
        <v>35.75</v>
      </c>
      <c r="O29" s="2" t="s">
        <v>51</v>
      </c>
      <c r="P29" s="7">
        <v>1.15385</v>
      </c>
      <c r="S29" s="6">
        <f t="shared" si="1"/>
        <v>35.75</v>
      </c>
    </row>
    <row r="30" spans="1:19" ht="15" customHeight="1" x14ac:dyDescent="0.3">
      <c r="A30" s="2" t="s">
        <v>186</v>
      </c>
      <c r="B30" s="2" t="s">
        <v>187</v>
      </c>
      <c r="C30" s="2" t="s">
        <v>188</v>
      </c>
      <c r="D30" s="2" t="s">
        <v>184</v>
      </c>
      <c r="E30" s="2">
        <v>1</v>
      </c>
      <c r="F30" s="2">
        <v>1</v>
      </c>
      <c r="G30" s="2">
        <v>1</v>
      </c>
      <c r="H30" s="2" t="s">
        <v>49</v>
      </c>
      <c r="I30" s="2" t="s">
        <v>189</v>
      </c>
      <c r="J30" s="2" t="s">
        <v>190</v>
      </c>
      <c r="K30" s="2" t="s">
        <v>156</v>
      </c>
      <c r="L30" s="4">
        <v>22</v>
      </c>
      <c r="M30" s="5">
        <v>5</v>
      </c>
      <c r="N30" s="6">
        <f t="shared" si="0"/>
        <v>110</v>
      </c>
      <c r="O30" s="2" t="s">
        <v>51</v>
      </c>
      <c r="P30" s="7">
        <v>1.36364</v>
      </c>
      <c r="S30" s="6">
        <f t="shared" si="1"/>
        <v>110</v>
      </c>
    </row>
    <row r="31" spans="1:19" ht="15" customHeight="1" x14ac:dyDescent="0.3">
      <c r="A31" s="2" t="s">
        <v>191</v>
      </c>
      <c r="B31" s="2" t="s">
        <v>192</v>
      </c>
      <c r="C31" s="2" t="s">
        <v>193</v>
      </c>
      <c r="D31" s="2" t="s">
        <v>184</v>
      </c>
      <c r="E31" s="2">
        <v>1</v>
      </c>
      <c r="F31" s="2">
        <v>1</v>
      </c>
      <c r="G31" s="2">
        <v>1</v>
      </c>
      <c r="H31" s="2" t="s">
        <v>49</v>
      </c>
      <c r="I31" s="2" t="s">
        <v>192</v>
      </c>
      <c r="J31" s="2" t="s">
        <v>194</v>
      </c>
      <c r="K31" s="2" t="s">
        <v>156</v>
      </c>
      <c r="L31" s="4">
        <v>15</v>
      </c>
      <c r="M31" s="5">
        <v>8</v>
      </c>
      <c r="N31" s="6">
        <f t="shared" si="0"/>
        <v>120</v>
      </c>
      <c r="O31" s="2" t="s">
        <v>51</v>
      </c>
      <c r="P31" s="7">
        <v>2.1333299999999999</v>
      </c>
      <c r="S31" s="6">
        <f t="shared" si="1"/>
        <v>120</v>
      </c>
    </row>
    <row r="32" spans="1:19" ht="15" customHeight="1" x14ac:dyDescent="0.3">
      <c r="A32" s="2" t="s">
        <v>195</v>
      </c>
      <c r="B32" s="2" t="s">
        <v>196</v>
      </c>
      <c r="C32" s="2" t="s">
        <v>197</v>
      </c>
      <c r="D32" s="2" t="s">
        <v>184</v>
      </c>
      <c r="E32" s="2">
        <v>1</v>
      </c>
      <c r="F32" s="2">
        <v>1</v>
      </c>
      <c r="G32" s="2">
        <v>0</v>
      </c>
      <c r="H32" s="2" t="s">
        <v>55</v>
      </c>
      <c r="I32" s="2" t="s">
        <v>198</v>
      </c>
      <c r="J32" s="2" t="s">
        <v>199</v>
      </c>
      <c r="K32" s="2" t="s">
        <v>156</v>
      </c>
      <c r="L32" s="4">
        <v>12</v>
      </c>
      <c r="M32" s="5">
        <v>3.6</v>
      </c>
      <c r="N32" s="6">
        <f t="shared" si="0"/>
        <v>43.2</v>
      </c>
      <c r="O32" s="2" t="s">
        <v>51</v>
      </c>
      <c r="P32" s="7">
        <v>1.5</v>
      </c>
      <c r="S32" s="6">
        <f t="shared" si="1"/>
        <v>43.2</v>
      </c>
    </row>
    <row r="33" spans="1:19" ht="15" customHeight="1" x14ac:dyDescent="0.3">
      <c r="A33" s="2" t="s">
        <v>200</v>
      </c>
      <c r="B33" s="2" t="s">
        <v>201</v>
      </c>
      <c r="C33" s="2" t="s">
        <v>202</v>
      </c>
      <c r="D33" s="2" t="s">
        <v>203</v>
      </c>
      <c r="E33" s="2">
        <v>1</v>
      </c>
      <c r="F33" s="2">
        <v>1</v>
      </c>
      <c r="G33" s="2">
        <v>1</v>
      </c>
      <c r="H33" s="2" t="s">
        <v>49</v>
      </c>
      <c r="I33" s="2" t="s">
        <v>201</v>
      </c>
      <c r="J33" s="2" t="s">
        <v>204</v>
      </c>
      <c r="K33" s="2" t="s">
        <v>203</v>
      </c>
      <c r="L33" s="4">
        <v>13</v>
      </c>
      <c r="M33" s="5">
        <v>14</v>
      </c>
      <c r="N33" s="6">
        <f t="shared" si="0"/>
        <v>182</v>
      </c>
      <c r="O33" s="2" t="s">
        <v>51</v>
      </c>
      <c r="P33" s="7">
        <v>1.0769200000000001</v>
      </c>
      <c r="S33" s="6">
        <f t="shared" si="1"/>
        <v>182</v>
      </c>
    </row>
    <row r="34" spans="1:19" ht="15" customHeight="1" x14ac:dyDescent="0.3">
      <c r="A34" s="2" t="s">
        <v>205</v>
      </c>
      <c r="B34" s="2" t="s">
        <v>206</v>
      </c>
      <c r="C34" s="2" t="s">
        <v>207</v>
      </c>
      <c r="D34" s="2" t="s">
        <v>208</v>
      </c>
      <c r="E34" s="2">
        <v>1</v>
      </c>
      <c r="F34" s="2">
        <v>1</v>
      </c>
      <c r="G34" s="2">
        <v>1</v>
      </c>
      <c r="H34" s="2" t="s">
        <v>49</v>
      </c>
      <c r="I34" s="2" t="s">
        <v>209</v>
      </c>
      <c r="J34" s="2" t="s">
        <v>210</v>
      </c>
      <c r="K34" s="2" t="s">
        <v>203</v>
      </c>
      <c r="L34" s="4">
        <v>12</v>
      </c>
      <c r="M34" s="5">
        <v>4</v>
      </c>
      <c r="N34" s="6">
        <f t="shared" si="0"/>
        <v>48</v>
      </c>
      <c r="O34" s="2" t="s">
        <v>51</v>
      </c>
      <c r="P34" s="7">
        <v>0.25</v>
      </c>
      <c r="S34" s="6">
        <f t="shared" si="1"/>
        <v>48</v>
      </c>
    </row>
    <row r="35" spans="1:19" ht="15" customHeight="1" x14ac:dyDescent="0.3">
      <c r="A35" s="2" t="s">
        <v>211</v>
      </c>
      <c r="B35" s="2" t="s">
        <v>212</v>
      </c>
      <c r="C35" s="2" t="s">
        <v>213</v>
      </c>
      <c r="D35" s="2" t="s">
        <v>208</v>
      </c>
      <c r="E35" s="2">
        <v>1</v>
      </c>
      <c r="F35" s="2">
        <v>1</v>
      </c>
      <c r="G35" s="2">
        <v>1</v>
      </c>
      <c r="H35" s="2" t="s">
        <v>49</v>
      </c>
      <c r="I35" s="2" t="s">
        <v>214</v>
      </c>
      <c r="J35" s="2" t="s">
        <v>215</v>
      </c>
      <c r="K35" s="2" t="s">
        <v>208</v>
      </c>
      <c r="L35" s="4">
        <v>10</v>
      </c>
      <c r="M35" s="5">
        <v>3.5</v>
      </c>
      <c r="N35" s="6">
        <f t="shared" si="0"/>
        <v>35</v>
      </c>
      <c r="O35" s="2" t="s">
        <v>51</v>
      </c>
      <c r="P35" s="7">
        <v>0.4</v>
      </c>
      <c r="S35" s="6">
        <f t="shared" si="1"/>
        <v>35</v>
      </c>
    </row>
    <row r="36" spans="1:19" ht="15" customHeight="1" x14ac:dyDescent="0.3">
      <c r="A36" s="2" t="s">
        <v>216</v>
      </c>
      <c r="B36" s="2" t="s">
        <v>217</v>
      </c>
      <c r="C36" s="2" t="s">
        <v>218</v>
      </c>
      <c r="D36" s="2" t="s">
        <v>208</v>
      </c>
      <c r="E36" s="2">
        <v>1</v>
      </c>
      <c r="F36" s="2">
        <v>1</v>
      </c>
      <c r="G36" s="2">
        <v>1</v>
      </c>
      <c r="H36" s="2" t="s">
        <v>49</v>
      </c>
      <c r="I36" s="2" t="s">
        <v>217</v>
      </c>
      <c r="J36" s="2" t="s">
        <v>219</v>
      </c>
      <c r="K36" s="2" t="s">
        <v>208</v>
      </c>
      <c r="L36" s="4">
        <v>17</v>
      </c>
      <c r="M36" s="5">
        <v>7</v>
      </c>
      <c r="N36" s="6">
        <f t="shared" si="0"/>
        <v>119</v>
      </c>
      <c r="O36" s="2" t="s">
        <v>51</v>
      </c>
      <c r="P36" s="7">
        <v>1.11765</v>
      </c>
      <c r="S36" s="6">
        <f t="shared" si="1"/>
        <v>119</v>
      </c>
    </row>
    <row r="37" spans="1:19" ht="15" customHeight="1" x14ac:dyDescent="0.3">
      <c r="A37" s="2" t="s">
        <v>220</v>
      </c>
      <c r="B37" s="2" t="s">
        <v>221</v>
      </c>
      <c r="C37" s="2" t="s">
        <v>222</v>
      </c>
      <c r="D37" s="2" t="s">
        <v>223</v>
      </c>
      <c r="E37" s="2">
        <v>1</v>
      </c>
      <c r="F37" s="2">
        <v>1</v>
      </c>
      <c r="G37" s="2">
        <v>0</v>
      </c>
      <c r="H37" s="2" t="s">
        <v>49</v>
      </c>
      <c r="I37" s="2" t="s">
        <v>221</v>
      </c>
      <c r="J37" s="2" t="s">
        <v>224</v>
      </c>
      <c r="K37" s="2" t="s">
        <v>223</v>
      </c>
      <c r="L37" s="4">
        <v>17</v>
      </c>
      <c r="M37" s="5">
        <v>10</v>
      </c>
      <c r="N37" s="6">
        <f t="shared" si="0"/>
        <v>170</v>
      </c>
      <c r="O37" s="2" t="s">
        <v>51</v>
      </c>
      <c r="P37" s="7">
        <v>0.352941</v>
      </c>
      <c r="S37" s="6">
        <f t="shared" si="1"/>
        <v>170</v>
      </c>
    </row>
    <row r="38" spans="1:19" ht="15" customHeight="1" x14ac:dyDescent="0.3">
      <c r="A38" s="2" t="s">
        <v>225</v>
      </c>
      <c r="B38" s="2" t="s">
        <v>226</v>
      </c>
      <c r="C38" s="2" t="s">
        <v>227</v>
      </c>
      <c r="D38" s="2" t="s">
        <v>223</v>
      </c>
      <c r="E38" s="2">
        <v>1</v>
      </c>
      <c r="F38" s="2">
        <v>0</v>
      </c>
      <c r="G38" s="2">
        <v>1</v>
      </c>
      <c r="H38" s="8" t="s">
        <v>138</v>
      </c>
      <c r="R38" s="9">
        <v>135</v>
      </c>
      <c r="S38" s="6">
        <f>R38</f>
        <v>135</v>
      </c>
    </row>
    <row r="39" spans="1:19" ht="15" customHeight="1" x14ac:dyDescent="0.3">
      <c r="A39" s="2" t="s">
        <v>228</v>
      </c>
      <c r="B39" s="2" t="s">
        <v>229</v>
      </c>
      <c r="C39" s="2" t="s">
        <v>230</v>
      </c>
      <c r="D39" s="2" t="s">
        <v>223</v>
      </c>
      <c r="E39" s="2">
        <v>1</v>
      </c>
      <c r="F39" s="2">
        <v>0</v>
      </c>
      <c r="G39" s="2">
        <v>0</v>
      </c>
      <c r="H39" s="2" t="s">
        <v>49</v>
      </c>
      <c r="I39" s="2" t="s">
        <v>229</v>
      </c>
      <c r="J39" s="2" t="s">
        <v>231</v>
      </c>
      <c r="K39" s="2" t="s">
        <v>223</v>
      </c>
      <c r="L39" s="4">
        <v>20</v>
      </c>
      <c r="M39" s="5">
        <v>5.5</v>
      </c>
      <c r="N39" s="6">
        <f>L39*M39</f>
        <v>110</v>
      </c>
      <c r="O39" s="2" t="s">
        <v>51</v>
      </c>
      <c r="P39" s="7">
        <v>1.55</v>
      </c>
      <c r="S39" s="6">
        <f>IF(N39&lt;&gt;"",N39,"")</f>
        <v>110</v>
      </c>
    </row>
    <row r="40" spans="1:19" ht="15" customHeight="1" x14ac:dyDescent="0.3">
      <c r="A40" s="2" t="s">
        <v>232</v>
      </c>
      <c r="B40" s="2" t="s">
        <v>233</v>
      </c>
      <c r="C40" s="2" t="s">
        <v>234</v>
      </c>
      <c r="D40" s="2" t="s">
        <v>223</v>
      </c>
      <c r="E40" s="2">
        <v>1</v>
      </c>
      <c r="F40" s="2">
        <v>1</v>
      </c>
      <c r="G40" s="2">
        <v>0</v>
      </c>
      <c r="H40" s="2" t="s">
        <v>49</v>
      </c>
      <c r="I40" s="2" t="s">
        <v>233</v>
      </c>
      <c r="J40" s="2" t="s">
        <v>235</v>
      </c>
      <c r="K40" s="2" t="s">
        <v>223</v>
      </c>
      <c r="L40" s="4">
        <v>20</v>
      </c>
      <c r="M40" s="5">
        <v>3.8</v>
      </c>
      <c r="N40" s="6">
        <f>L40*M40</f>
        <v>76</v>
      </c>
      <c r="O40" s="2" t="s">
        <v>51</v>
      </c>
      <c r="P40" s="7">
        <v>0.8</v>
      </c>
      <c r="S40" s="6">
        <f>IF(N40&lt;&gt;"",N40,"")</f>
        <v>76</v>
      </c>
    </row>
    <row r="41" spans="1:19" ht="15" customHeight="1" x14ac:dyDescent="0.3">
      <c r="A41" s="2" t="s">
        <v>236</v>
      </c>
      <c r="B41" s="2" t="s">
        <v>237</v>
      </c>
      <c r="C41" s="2" t="s">
        <v>238</v>
      </c>
      <c r="D41" s="2" t="s">
        <v>223</v>
      </c>
      <c r="E41" s="2">
        <v>1</v>
      </c>
      <c r="F41" s="2">
        <v>1</v>
      </c>
      <c r="G41" s="2">
        <v>1</v>
      </c>
      <c r="H41" s="2" t="s">
        <v>55</v>
      </c>
      <c r="I41" s="2" t="s">
        <v>239</v>
      </c>
      <c r="J41" s="2" t="s">
        <v>240</v>
      </c>
      <c r="K41" s="2" t="s">
        <v>223</v>
      </c>
      <c r="L41" s="4">
        <v>18</v>
      </c>
      <c r="M41" s="5">
        <v>5</v>
      </c>
      <c r="N41" s="6">
        <f>L41*M41</f>
        <v>90</v>
      </c>
      <c r="O41" s="2" t="s">
        <v>51</v>
      </c>
      <c r="P41" s="7">
        <v>0.72222200000000003</v>
      </c>
      <c r="S41" s="6">
        <f>IF(N41&lt;&gt;"",N41,"")</f>
        <v>90</v>
      </c>
    </row>
    <row r="42" spans="1:19" ht="15" customHeight="1" x14ac:dyDescent="0.3">
      <c r="A42" s="2" t="s">
        <v>241</v>
      </c>
      <c r="B42" s="2" t="s">
        <v>242</v>
      </c>
      <c r="C42" s="2" t="s">
        <v>243</v>
      </c>
      <c r="D42" s="2" t="s">
        <v>244</v>
      </c>
      <c r="E42" s="2">
        <v>1</v>
      </c>
      <c r="F42" s="2">
        <v>1</v>
      </c>
      <c r="G42" s="2">
        <v>1</v>
      </c>
      <c r="H42" s="2" t="s">
        <v>49</v>
      </c>
      <c r="I42" s="2" t="s">
        <v>245</v>
      </c>
      <c r="J42" s="2" t="s">
        <v>246</v>
      </c>
      <c r="K42" s="2" t="s">
        <v>223</v>
      </c>
      <c r="L42" s="4">
        <v>12</v>
      </c>
      <c r="M42" s="5">
        <v>7.5</v>
      </c>
      <c r="N42" s="6">
        <f>L42*M42</f>
        <v>90</v>
      </c>
      <c r="O42" s="2" t="s">
        <v>51</v>
      </c>
      <c r="P42" s="7">
        <v>0.16666700000000001</v>
      </c>
      <c r="S42" s="6">
        <f>IF(N42&lt;&gt;"",N42,"")</f>
        <v>90</v>
      </c>
    </row>
    <row r="43" spans="1:19" ht="15" customHeight="1" x14ac:dyDescent="0.3">
      <c r="A43" s="2" t="s">
        <v>247</v>
      </c>
      <c r="B43" s="2" t="s">
        <v>248</v>
      </c>
      <c r="C43" s="2" t="s">
        <v>249</v>
      </c>
      <c r="D43" s="2" t="s">
        <v>244</v>
      </c>
      <c r="E43" s="2">
        <v>1</v>
      </c>
      <c r="F43" s="2">
        <v>1</v>
      </c>
      <c r="G43" s="2">
        <v>1</v>
      </c>
      <c r="H43" s="8" t="s">
        <v>67</v>
      </c>
      <c r="I43" s="2" t="s">
        <v>250</v>
      </c>
      <c r="J43" s="2" t="s">
        <v>251</v>
      </c>
      <c r="R43" s="9">
        <v>135</v>
      </c>
      <c r="S43" s="6">
        <f>R43</f>
        <v>135</v>
      </c>
    </row>
    <row r="44" spans="1:19" ht="15" customHeight="1" x14ac:dyDescent="0.3">
      <c r="A44" s="2" t="s">
        <v>252</v>
      </c>
      <c r="B44" s="2" t="s">
        <v>253</v>
      </c>
      <c r="C44" s="2" t="s">
        <v>254</v>
      </c>
      <c r="D44" s="2" t="s">
        <v>244</v>
      </c>
      <c r="E44" s="2">
        <v>1</v>
      </c>
      <c r="F44" s="2">
        <v>0</v>
      </c>
      <c r="G44" s="2">
        <v>1</v>
      </c>
      <c r="H44" s="2" t="s">
        <v>55</v>
      </c>
      <c r="I44" s="2" t="s">
        <v>255</v>
      </c>
      <c r="J44" s="2" t="s">
        <v>256</v>
      </c>
      <c r="K44" s="2" t="s">
        <v>223</v>
      </c>
      <c r="L44" s="4">
        <v>6</v>
      </c>
      <c r="M44" s="5">
        <v>1</v>
      </c>
      <c r="N44" s="6">
        <f>L44*M44</f>
        <v>6</v>
      </c>
      <c r="O44" s="2" t="s">
        <v>51</v>
      </c>
      <c r="P44" s="7">
        <v>0.83333299999999999</v>
      </c>
      <c r="S44" s="6">
        <f>IF(N44&lt;&gt;"",N44,"")</f>
        <v>6</v>
      </c>
    </row>
    <row r="45" spans="1:19" ht="15" customHeight="1" x14ac:dyDescent="0.3">
      <c r="A45" s="2" t="s">
        <v>257</v>
      </c>
      <c r="B45" s="2" t="s">
        <v>258</v>
      </c>
      <c r="C45" s="2" t="s">
        <v>259</v>
      </c>
      <c r="D45" s="2" t="s">
        <v>244</v>
      </c>
      <c r="E45" s="2">
        <v>1</v>
      </c>
      <c r="F45" s="2">
        <v>0</v>
      </c>
      <c r="G45" s="2">
        <v>0</v>
      </c>
      <c r="H45" s="2" t="s">
        <v>49</v>
      </c>
      <c r="I45" s="2" t="s">
        <v>258</v>
      </c>
      <c r="J45" s="2" t="s">
        <v>260</v>
      </c>
      <c r="K45" s="2" t="s">
        <v>244</v>
      </c>
      <c r="L45" s="4">
        <v>15</v>
      </c>
      <c r="M45" s="5">
        <v>5</v>
      </c>
      <c r="N45" s="6">
        <f>L45*M45</f>
        <v>75</v>
      </c>
      <c r="O45" s="2" t="s">
        <v>51</v>
      </c>
      <c r="P45" s="7">
        <v>0</v>
      </c>
      <c r="S45" s="6">
        <f>IF(N45&lt;&gt;"",N45,"")</f>
        <v>75</v>
      </c>
    </row>
    <row r="46" spans="1:19" ht="15" customHeight="1" x14ac:dyDescent="0.3">
      <c r="A46" s="2" t="s">
        <v>261</v>
      </c>
      <c r="B46" s="2" t="s">
        <v>262</v>
      </c>
      <c r="C46" s="2" t="s">
        <v>263</v>
      </c>
      <c r="D46" s="2" t="s">
        <v>244</v>
      </c>
      <c r="E46" s="2">
        <v>1</v>
      </c>
      <c r="F46" s="2">
        <v>1</v>
      </c>
      <c r="G46" s="2">
        <v>1</v>
      </c>
      <c r="H46" s="2" t="s">
        <v>49</v>
      </c>
      <c r="I46" s="2" t="s">
        <v>262</v>
      </c>
      <c r="J46" s="2" t="s">
        <v>264</v>
      </c>
      <c r="K46" s="2" t="s">
        <v>265</v>
      </c>
      <c r="L46" s="4">
        <v>20</v>
      </c>
      <c r="M46" s="5">
        <v>4</v>
      </c>
      <c r="N46" s="6">
        <f>L46*M46</f>
        <v>80</v>
      </c>
      <c r="O46" s="2" t="s">
        <v>51</v>
      </c>
      <c r="P46" s="7">
        <v>1.1000000000000001</v>
      </c>
      <c r="S46" s="6">
        <f>IF(N46&lt;&gt;"",N46,"")</f>
        <v>80</v>
      </c>
    </row>
    <row r="47" spans="1:19" ht="15" customHeight="1" x14ac:dyDescent="0.3">
      <c r="A47" s="2" t="s">
        <v>266</v>
      </c>
      <c r="B47" s="2" t="s">
        <v>267</v>
      </c>
      <c r="C47" s="2" t="s">
        <v>268</v>
      </c>
      <c r="D47" s="2" t="s">
        <v>244</v>
      </c>
      <c r="E47" s="2">
        <v>1</v>
      </c>
      <c r="F47" s="2">
        <v>1</v>
      </c>
      <c r="G47" s="2">
        <v>1</v>
      </c>
      <c r="H47" s="2" t="s">
        <v>49</v>
      </c>
      <c r="I47" s="2" t="s">
        <v>269</v>
      </c>
      <c r="J47" s="2" t="s">
        <v>270</v>
      </c>
      <c r="K47" s="2" t="s">
        <v>244</v>
      </c>
      <c r="L47" s="4">
        <v>11</v>
      </c>
      <c r="M47" s="5">
        <v>7.5</v>
      </c>
      <c r="N47" s="6">
        <f>L47*M47</f>
        <v>82.5</v>
      </c>
      <c r="O47" s="2" t="s">
        <v>51</v>
      </c>
      <c r="P47" s="7">
        <v>0.227273</v>
      </c>
      <c r="S47" s="6">
        <f>IF(N47&lt;&gt;"",N47,"")</f>
        <v>82.5</v>
      </c>
    </row>
    <row r="48" spans="1:19" ht="15" customHeight="1" x14ac:dyDescent="0.3">
      <c r="A48" s="2" t="s">
        <v>271</v>
      </c>
      <c r="B48" s="2" t="s">
        <v>272</v>
      </c>
      <c r="C48" s="2" t="s">
        <v>273</v>
      </c>
      <c r="D48" s="2" t="s">
        <v>265</v>
      </c>
      <c r="E48" s="2">
        <v>1</v>
      </c>
      <c r="F48" s="2">
        <v>0</v>
      </c>
      <c r="G48" s="2">
        <v>0</v>
      </c>
      <c r="H48" s="2" t="s">
        <v>49</v>
      </c>
      <c r="I48" s="2" t="s">
        <v>272</v>
      </c>
      <c r="J48" s="2" t="s">
        <v>274</v>
      </c>
      <c r="K48" s="2" t="s">
        <v>244</v>
      </c>
      <c r="L48" s="4">
        <v>15.5</v>
      </c>
      <c r="M48" s="5">
        <v>6.85</v>
      </c>
      <c r="N48" s="6">
        <f>L48*M48</f>
        <v>106.175</v>
      </c>
      <c r="O48" s="2" t="s">
        <v>51</v>
      </c>
      <c r="P48" s="7">
        <v>-3.2258099999999998E-2</v>
      </c>
      <c r="S48" s="6">
        <f>IF(N48&lt;&gt;"",N48,"")</f>
        <v>106.175</v>
      </c>
    </row>
    <row r="49" spans="1:19" ht="15" customHeight="1" x14ac:dyDescent="0.3">
      <c r="A49" s="2" t="s">
        <v>275</v>
      </c>
      <c r="B49" s="2" t="s">
        <v>276</v>
      </c>
      <c r="C49" s="2" t="s">
        <v>277</v>
      </c>
      <c r="D49" s="2" t="s">
        <v>265</v>
      </c>
      <c r="E49" s="2">
        <v>1</v>
      </c>
      <c r="F49" s="2">
        <v>0</v>
      </c>
      <c r="G49" s="2">
        <v>1</v>
      </c>
      <c r="H49" s="8" t="s">
        <v>67</v>
      </c>
      <c r="I49" s="2" t="s">
        <v>278</v>
      </c>
      <c r="J49" s="2" t="s">
        <v>279</v>
      </c>
      <c r="R49" s="9">
        <v>135</v>
      </c>
      <c r="S49" s="6">
        <f>R49</f>
        <v>135</v>
      </c>
    </row>
    <row r="50" spans="1:19" ht="15" customHeight="1" x14ac:dyDescent="0.3">
      <c r="A50" s="2" t="s">
        <v>280</v>
      </c>
      <c r="B50" s="2" t="s">
        <v>281</v>
      </c>
      <c r="C50" s="2" t="s">
        <v>282</v>
      </c>
      <c r="D50" s="2" t="s">
        <v>265</v>
      </c>
      <c r="E50" s="2">
        <v>1</v>
      </c>
      <c r="F50" s="2">
        <v>1</v>
      </c>
      <c r="G50" s="2">
        <v>1</v>
      </c>
      <c r="H50" s="2" t="s">
        <v>49</v>
      </c>
      <c r="I50" s="2" t="s">
        <v>281</v>
      </c>
      <c r="J50" s="2" t="s">
        <v>283</v>
      </c>
      <c r="K50" s="2" t="s">
        <v>244</v>
      </c>
      <c r="L50" s="4">
        <v>21</v>
      </c>
      <c r="M50" s="5">
        <v>14.3</v>
      </c>
      <c r="N50" s="6">
        <f t="shared" ref="N50:N61" si="2">L50*M50</f>
        <v>300.3</v>
      </c>
      <c r="O50" s="2" t="s">
        <v>51</v>
      </c>
      <c r="P50" s="7">
        <v>0.95238100000000003</v>
      </c>
      <c r="S50" s="6">
        <f t="shared" ref="S50:S63" si="3">IF(N50&lt;&gt;"",N50,"")</f>
        <v>300.3</v>
      </c>
    </row>
    <row r="51" spans="1:19" ht="15" customHeight="1" x14ac:dyDescent="0.3">
      <c r="A51" s="2" t="s">
        <v>284</v>
      </c>
      <c r="B51" s="2" t="s">
        <v>285</v>
      </c>
      <c r="C51" s="2" t="s">
        <v>286</v>
      </c>
      <c r="D51" s="2" t="s">
        <v>287</v>
      </c>
      <c r="E51" s="2">
        <v>1</v>
      </c>
      <c r="F51" s="2">
        <v>0</v>
      </c>
      <c r="G51" s="2">
        <v>1</v>
      </c>
      <c r="H51" s="2" t="s">
        <v>49</v>
      </c>
      <c r="I51" s="2" t="s">
        <v>285</v>
      </c>
      <c r="J51" s="2" t="s">
        <v>288</v>
      </c>
      <c r="K51" s="2" t="s">
        <v>287</v>
      </c>
      <c r="L51" s="4">
        <v>24</v>
      </c>
      <c r="M51" s="5">
        <v>17</v>
      </c>
      <c r="N51" s="6">
        <f t="shared" si="2"/>
        <v>408</v>
      </c>
      <c r="O51" s="2" t="s">
        <v>51</v>
      </c>
      <c r="P51" s="7">
        <v>0.14583299999999999</v>
      </c>
      <c r="S51" s="6">
        <f t="shared" si="3"/>
        <v>408</v>
      </c>
    </row>
    <row r="52" spans="1:19" ht="15" customHeight="1" x14ac:dyDescent="0.3">
      <c r="A52" s="2" t="s">
        <v>289</v>
      </c>
      <c r="B52" s="2" t="s">
        <v>290</v>
      </c>
      <c r="C52" s="2" t="s">
        <v>291</v>
      </c>
      <c r="D52" s="2" t="s">
        <v>287</v>
      </c>
      <c r="E52" s="2">
        <v>1</v>
      </c>
      <c r="F52" s="2">
        <v>1</v>
      </c>
      <c r="G52" s="2">
        <v>0</v>
      </c>
      <c r="H52" s="2" t="s">
        <v>55</v>
      </c>
      <c r="I52" s="2" t="s">
        <v>292</v>
      </c>
      <c r="J52" s="2" t="s">
        <v>293</v>
      </c>
      <c r="K52" s="2" t="s">
        <v>287</v>
      </c>
      <c r="L52" s="4">
        <v>24</v>
      </c>
      <c r="M52" s="5">
        <v>7.25</v>
      </c>
      <c r="N52" s="6">
        <f t="shared" si="2"/>
        <v>174</v>
      </c>
      <c r="O52" s="2" t="s">
        <v>51</v>
      </c>
      <c r="P52" s="7">
        <v>1.1666700000000001</v>
      </c>
      <c r="S52" s="6">
        <f t="shared" si="3"/>
        <v>174</v>
      </c>
    </row>
    <row r="53" spans="1:19" ht="15" customHeight="1" x14ac:dyDescent="0.3">
      <c r="A53" s="2" t="s">
        <v>294</v>
      </c>
      <c r="B53" s="2" t="s">
        <v>295</v>
      </c>
      <c r="C53" s="2" t="s">
        <v>296</v>
      </c>
      <c r="D53" s="2" t="s">
        <v>287</v>
      </c>
      <c r="E53" s="2">
        <v>1</v>
      </c>
      <c r="F53" s="2">
        <v>0</v>
      </c>
      <c r="G53" s="2">
        <v>1</v>
      </c>
      <c r="H53" s="2" t="s">
        <v>55</v>
      </c>
      <c r="I53" s="2" t="s">
        <v>297</v>
      </c>
      <c r="J53" s="2" t="s">
        <v>298</v>
      </c>
      <c r="K53" s="2" t="s">
        <v>287</v>
      </c>
      <c r="L53" s="4">
        <v>12</v>
      </c>
      <c r="M53" s="5">
        <v>1.4</v>
      </c>
      <c r="N53" s="6">
        <f t="shared" si="2"/>
        <v>16.799999999999997</v>
      </c>
      <c r="O53" s="2" t="s">
        <v>51</v>
      </c>
      <c r="P53" s="7">
        <v>1.1666700000000001</v>
      </c>
      <c r="S53" s="6">
        <f t="shared" si="3"/>
        <v>16.799999999999997</v>
      </c>
    </row>
    <row r="54" spans="1:19" ht="15" customHeight="1" x14ac:dyDescent="0.3">
      <c r="A54" s="2" t="s">
        <v>299</v>
      </c>
      <c r="B54" s="2" t="s">
        <v>300</v>
      </c>
      <c r="C54" s="2" t="s">
        <v>301</v>
      </c>
      <c r="D54" s="2" t="s">
        <v>302</v>
      </c>
      <c r="E54" s="2">
        <v>1</v>
      </c>
      <c r="F54" s="2">
        <v>1</v>
      </c>
      <c r="G54" s="2">
        <v>0</v>
      </c>
      <c r="H54" s="2" t="s">
        <v>49</v>
      </c>
      <c r="I54" s="2" t="s">
        <v>300</v>
      </c>
      <c r="J54" s="2" t="s">
        <v>303</v>
      </c>
      <c r="K54" s="2" t="s">
        <v>287</v>
      </c>
      <c r="L54" s="4">
        <v>12</v>
      </c>
      <c r="M54" s="5">
        <v>3</v>
      </c>
      <c r="N54" s="6">
        <f t="shared" si="2"/>
        <v>36</v>
      </c>
      <c r="O54" s="2" t="s">
        <v>51</v>
      </c>
      <c r="P54" s="7">
        <v>0</v>
      </c>
      <c r="S54" s="6">
        <f t="shared" si="3"/>
        <v>36</v>
      </c>
    </row>
    <row r="55" spans="1:19" ht="15" customHeight="1" x14ac:dyDescent="0.3">
      <c r="A55" s="2" t="s">
        <v>304</v>
      </c>
      <c r="B55" s="2" t="s">
        <v>305</v>
      </c>
      <c r="C55" s="2" t="s">
        <v>306</v>
      </c>
      <c r="D55" s="2" t="s">
        <v>302</v>
      </c>
      <c r="E55" s="2">
        <v>1</v>
      </c>
      <c r="F55" s="2">
        <v>1</v>
      </c>
      <c r="G55" s="2">
        <v>1</v>
      </c>
      <c r="H55" s="2" t="s">
        <v>49</v>
      </c>
      <c r="I55" s="2" t="s">
        <v>307</v>
      </c>
      <c r="J55" s="2" t="s">
        <v>308</v>
      </c>
      <c r="K55" s="2" t="s">
        <v>287</v>
      </c>
      <c r="L55" s="4">
        <v>10</v>
      </c>
      <c r="M55" s="5">
        <v>4.0750000000000002</v>
      </c>
      <c r="N55" s="6">
        <f t="shared" si="2"/>
        <v>40.75</v>
      </c>
      <c r="O55" s="2" t="s">
        <v>51</v>
      </c>
      <c r="P55" s="7">
        <v>0.2</v>
      </c>
      <c r="S55" s="6">
        <f t="shared" si="3"/>
        <v>40.75</v>
      </c>
    </row>
    <row r="56" spans="1:19" ht="15" customHeight="1" x14ac:dyDescent="0.3">
      <c r="A56" s="2" t="s">
        <v>309</v>
      </c>
      <c r="B56" s="2" t="s">
        <v>310</v>
      </c>
      <c r="C56" s="2" t="s">
        <v>311</v>
      </c>
      <c r="D56" s="2" t="s">
        <v>302</v>
      </c>
      <c r="E56" s="2">
        <v>1</v>
      </c>
      <c r="F56" s="2">
        <v>1</v>
      </c>
      <c r="G56" s="2">
        <v>1</v>
      </c>
      <c r="H56" s="2" t="s">
        <v>49</v>
      </c>
      <c r="I56" s="2" t="s">
        <v>312</v>
      </c>
      <c r="J56" s="2" t="s">
        <v>313</v>
      </c>
      <c r="K56" s="2" t="s">
        <v>314</v>
      </c>
      <c r="L56" s="4">
        <v>12</v>
      </c>
      <c r="M56" s="5">
        <v>3.65</v>
      </c>
      <c r="N56" s="6">
        <f t="shared" si="2"/>
        <v>43.8</v>
      </c>
      <c r="O56" s="2" t="s">
        <v>51</v>
      </c>
      <c r="P56" s="7">
        <v>0.375</v>
      </c>
      <c r="S56" s="6">
        <f t="shared" si="3"/>
        <v>43.8</v>
      </c>
    </row>
    <row r="57" spans="1:19" ht="15" customHeight="1" x14ac:dyDescent="0.3">
      <c r="A57" s="2" t="s">
        <v>315</v>
      </c>
      <c r="B57" s="2" t="s">
        <v>316</v>
      </c>
      <c r="C57" s="2" t="s">
        <v>317</v>
      </c>
      <c r="D57" s="2" t="s">
        <v>302</v>
      </c>
      <c r="E57" s="2">
        <v>1</v>
      </c>
      <c r="F57" s="2">
        <v>0</v>
      </c>
      <c r="G57" s="2">
        <v>1</v>
      </c>
      <c r="H57" s="2" t="s">
        <v>55</v>
      </c>
      <c r="I57" s="2" t="s">
        <v>318</v>
      </c>
      <c r="J57" s="2" t="s">
        <v>319</v>
      </c>
      <c r="K57" s="2" t="s">
        <v>287</v>
      </c>
      <c r="L57" s="4">
        <v>8</v>
      </c>
      <c r="M57" s="5">
        <v>4</v>
      </c>
      <c r="N57" s="6">
        <f t="shared" si="2"/>
        <v>32</v>
      </c>
      <c r="O57" s="2" t="s">
        <v>51</v>
      </c>
      <c r="P57" s="7">
        <v>0.25</v>
      </c>
      <c r="S57" s="6">
        <f t="shared" si="3"/>
        <v>32</v>
      </c>
    </row>
    <row r="58" spans="1:19" ht="15" customHeight="1" x14ac:dyDescent="0.3">
      <c r="A58" s="2" t="s">
        <v>320</v>
      </c>
      <c r="B58" s="2" t="s">
        <v>321</v>
      </c>
      <c r="C58" s="2" t="s">
        <v>322</v>
      </c>
      <c r="D58" s="2" t="s">
        <v>302</v>
      </c>
      <c r="E58" s="2">
        <v>1</v>
      </c>
      <c r="F58" s="2">
        <v>1</v>
      </c>
      <c r="G58" s="2">
        <v>1</v>
      </c>
      <c r="H58" s="2" t="s">
        <v>49</v>
      </c>
      <c r="I58" s="2" t="s">
        <v>323</v>
      </c>
      <c r="J58" s="2" t="s">
        <v>324</v>
      </c>
      <c r="K58" s="2" t="s">
        <v>287</v>
      </c>
      <c r="L58" s="4">
        <v>18</v>
      </c>
      <c r="M58" s="5">
        <v>4.5</v>
      </c>
      <c r="N58" s="6">
        <f t="shared" si="2"/>
        <v>81</v>
      </c>
      <c r="O58" s="2" t="s">
        <v>51</v>
      </c>
      <c r="P58" s="7">
        <v>1.7222200000000001</v>
      </c>
      <c r="S58" s="6">
        <f t="shared" si="3"/>
        <v>81</v>
      </c>
    </row>
    <row r="59" spans="1:19" ht="15" customHeight="1" x14ac:dyDescent="0.3">
      <c r="A59" s="2" t="s">
        <v>325</v>
      </c>
      <c r="B59" s="2" t="s">
        <v>326</v>
      </c>
      <c r="C59" s="2" t="s">
        <v>327</v>
      </c>
      <c r="D59" s="2" t="s">
        <v>302</v>
      </c>
      <c r="E59" s="2">
        <v>1</v>
      </c>
      <c r="F59" s="2">
        <v>1</v>
      </c>
      <c r="G59" s="2">
        <v>0</v>
      </c>
      <c r="H59" s="2" t="s">
        <v>49</v>
      </c>
      <c r="I59" s="2" t="s">
        <v>326</v>
      </c>
      <c r="J59" s="2" t="s">
        <v>328</v>
      </c>
      <c r="K59" s="2" t="s">
        <v>287</v>
      </c>
      <c r="L59" s="4">
        <v>6</v>
      </c>
      <c r="M59" s="5">
        <v>1.2</v>
      </c>
      <c r="N59" s="6">
        <f t="shared" si="2"/>
        <v>7.1999999999999993</v>
      </c>
      <c r="O59" s="2" t="s">
        <v>51</v>
      </c>
      <c r="P59" s="7">
        <v>2.0833299999999999E-2</v>
      </c>
      <c r="S59" s="6">
        <f t="shared" si="3"/>
        <v>7.1999999999999993</v>
      </c>
    </row>
    <row r="60" spans="1:19" ht="15" customHeight="1" x14ac:dyDescent="0.3">
      <c r="A60" s="2" t="s">
        <v>329</v>
      </c>
      <c r="B60" s="2" t="s">
        <v>330</v>
      </c>
      <c r="C60" s="2" t="s">
        <v>331</v>
      </c>
      <c r="D60" s="2" t="s">
        <v>314</v>
      </c>
      <c r="E60" s="2">
        <v>1</v>
      </c>
      <c r="F60" s="2">
        <v>2</v>
      </c>
      <c r="G60" s="2">
        <v>1</v>
      </c>
      <c r="H60" s="2" t="s">
        <v>49</v>
      </c>
      <c r="I60" s="2" t="s">
        <v>332</v>
      </c>
      <c r="J60" s="2" t="s">
        <v>333</v>
      </c>
      <c r="K60" s="2" t="s">
        <v>314</v>
      </c>
      <c r="L60" s="4">
        <v>20</v>
      </c>
      <c r="M60" s="5">
        <v>7.1449999999999996</v>
      </c>
      <c r="N60" s="6">
        <f t="shared" si="2"/>
        <v>142.89999999999998</v>
      </c>
      <c r="O60" s="2" t="s">
        <v>51</v>
      </c>
      <c r="P60" s="7">
        <v>0.35</v>
      </c>
      <c r="S60" s="6">
        <f t="shared" si="3"/>
        <v>142.89999999999998</v>
      </c>
    </row>
    <row r="61" spans="1:19" ht="15" customHeight="1" x14ac:dyDescent="0.3">
      <c r="A61" s="2" t="s">
        <v>334</v>
      </c>
      <c r="B61" s="2" t="s">
        <v>335</v>
      </c>
      <c r="C61" s="2" t="s">
        <v>336</v>
      </c>
      <c r="D61" s="2" t="s">
        <v>314</v>
      </c>
      <c r="E61" s="2">
        <v>1</v>
      </c>
      <c r="F61" s="2">
        <v>1</v>
      </c>
      <c r="G61" s="2">
        <v>0</v>
      </c>
      <c r="H61" s="2" t="s">
        <v>49</v>
      </c>
      <c r="I61" s="2" t="s">
        <v>337</v>
      </c>
      <c r="J61" s="2" t="s">
        <v>338</v>
      </c>
      <c r="K61" s="2" t="s">
        <v>314</v>
      </c>
      <c r="L61" s="4">
        <v>16</v>
      </c>
      <c r="M61" s="5">
        <v>4.5</v>
      </c>
      <c r="N61" s="6">
        <f t="shared" si="2"/>
        <v>72</v>
      </c>
      <c r="O61" s="2" t="s">
        <v>51</v>
      </c>
      <c r="P61" s="7">
        <v>1.25</v>
      </c>
      <c r="S61" s="6">
        <f t="shared" si="3"/>
        <v>72</v>
      </c>
    </row>
    <row r="62" spans="1:19" ht="15" customHeight="1" x14ac:dyDescent="0.3">
      <c r="A62" s="2" t="s">
        <v>339</v>
      </c>
      <c r="B62" s="2" t="s">
        <v>340</v>
      </c>
      <c r="C62" s="2" t="s">
        <v>341</v>
      </c>
      <c r="D62" s="2" t="s">
        <v>314</v>
      </c>
      <c r="E62" s="2">
        <v>2</v>
      </c>
      <c r="F62" s="2">
        <v>0</v>
      </c>
      <c r="G62" s="2">
        <v>1</v>
      </c>
      <c r="H62" s="2" t="s">
        <v>115</v>
      </c>
      <c r="I62" s="2" t="s">
        <v>342</v>
      </c>
      <c r="J62" s="2" t="s">
        <v>343</v>
      </c>
      <c r="S62" s="6" t="str">
        <f t="shared" si="3"/>
        <v/>
      </c>
    </row>
    <row r="63" spans="1:19" ht="15" customHeight="1" x14ac:dyDescent="0.3">
      <c r="A63" s="2" t="s">
        <v>344</v>
      </c>
      <c r="B63" s="2" t="s">
        <v>345</v>
      </c>
      <c r="C63" s="2" t="s">
        <v>346</v>
      </c>
      <c r="D63" s="2" t="s">
        <v>347</v>
      </c>
      <c r="E63" s="2">
        <v>1</v>
      </c>
      <c r="F63" s="2">
        <v>1</v>
      </c>
      <c r="G63" s="2">
        <v>0</v>
      </c>
      <c r="H63" s="2" t="s">
        <v>49</v>
      </c>
      <c r="I63" s="2" t="s">
        <v>345</v>
      </c>
      <c r="J63" s="2" t="s">
        <v>348</v>
      </c>
      <c r="K63" s="2" t="s">
        <v>314</v>
      </c>
      <c r="L63" s="4">
        <v>22</v>
      </c>
      <c r="M63" s="5">
        <v>3.7</v>
      </c>
      <c r="N63" s="6">
        <f>L63*M63</f>
        <v>81.400000000000006</v>
      </c>
      <c r="O63" s="2" t="s">
        <v>51</v>
      </c>
      <c r="P63" s="7">
        <v>1.2727299999999999</v>
      </c>
      <c r="S63" s="6">
        <f t="shared" si="3"/>
        <v>81.400000000000006</v>
      </c>
    </row>
    <row r="64" spans="1:19" ht="15" customHeight="1" x14ac:dyDescent="0.3">
      <c r="A64" s="2" t="s">
        <v>349</v>
      </c>
      <c r="B64" s="2" t="s">
        <v>350</v>
      </c>
      <c r="C64" s="2" t="s">
        <v>351</v>
      </c>
      <c r="D64" s="2" t="s">
        <v>347</v>
      </c>
      <c r="E64" s="2">
        <v>1</v>
      </c>
      <c r="F64" s="2">
        <v>0</v>
      </c>
      <c r="G64" s="2">
        <v>1</v>
      </c>
      <c r="H64" s="8" t="s">
        <v>67</v>
      </c>
      <c r="I64" s="2" t="s">
        <v>352</v>
      </c>
      <c r="J64" s="2" t="s">
        <v>353</v>
      </c>
      <c r="K64" s="2" t="s">
        <v>354</v>
      </c>
      <c r="R64" s="9">
        <v>135</v>
      </c>
      <c r="S64" s="6">
        <f>R64</f>
        <v>135</v>
      </c>
    </row>
    <row r="65" spans="1:19" ht="15" customHeight="1" x14ac:dyDescent="0.3">
      <c r="A65" s="2" t="s">
        <v>355</v>
      </c>
      <c r="B65" s="2" t="s">
        <v>356</v>
      </c>
      <c r="C65" s="2" t="s">
        <v>357</v>
      </c>
      <c r="D65" s="2" t="s">
        <v>347</v>
      </c>
      <c r="E65" s="2">
        <v>1</v>
      </c>
      <c r="F65" s="2">
        <v>0</v>
      </c>
      <c r="G65" s="2">
        <v>1</v>
      </c>
      <c r="H65" s="2" t="s">
        <v>49</v>
      </c>
      <c r="I65" s="2" t="s">
        <v>358</v>
      </c>
      <c r="J65" s="2" t="s">
        <v>359</v>
      </c>
      <c r="K65" s="2" t="s">
        <v>347</v>
      </c>
      <c r="L65" s="4">
        <v>32</v>
      </c>
      <c r="M65" s="5">
        <v>2</v>
      </c>
      <c r="N65" s="6">
        <f>L65*M65</f>
        <v>64</v>
      </c>
      <c r="O65" s="2" t="s">
        <v>51</v>
      </c>
      <c r="P65" s="7">
        <v>1.5625</v>
      </c>
      <c r="S65" s="6">
        <f>IF(N65&lt;&gt;"",N65,"")</f>
        <v>64</v>
      </c>
    </row>
    <row r="66" spans="1:19" ht="15" customHeight="1" x14ac:dyDescent="0.3">
      <c r="A66" s="2" t="s">
        <v>360</v>
      </c>
      <c r="B66" s="2" t="s">
        <v>361</v>
      </c>
      <c r="C66" s="2" t="s">
        <v>362</v>
      </c>
      <c r="D66" s="2" t="s">
        <v>354</v>
      </c>
      <c r="E66" s="2">
        <v>1</v>
      </c>
      <c r="F66" s="2">
        <v>0</v>
      </c>
      <c r="G66" s="2">
        <v>0</v>
      </c>
      <c r="H66" s="8" t="s">
        <v>138</v>
      </c>
      <c r="R66" s="9">
        <v>135</v>
      </c>
      <c r="S66" s="6">
        <f>R66</f>
        <v>135</v>
      </c>
    </row>
    <row r="67" spans="1:19" ht="15" customHeight="1" x14ac:dyDescent="0.3">
      <c r="A67" s="2" t="s">
        <v>363</v>
      </c>
      <c r="B67" s="2" t="s">
        <v>364</v>
      </c>
      <c r="C67" s="2" t="s">
        <v>365</v>
      </c>
      <c r="D67" s="2" t="s">
        <v>366</v>
      </c>
      <c r="E67" s="2">
        <v>1</v>
      </c>
      <c r="F67" s="2">
        <v>0</v>
      </c>
      <c r="G67" s="2">
        <v>0</v>
      </c>
      <c r="H67" s="2" t="s">
        <v>49</v>
      </c>
      <c r="I67" s="2" t="s">
        <v>367</v>
      </c>
      <c r="J67" s="2" t="s">
        <v>368</v>
      </c>
      <c r="K67" s="2" t="s">
        <v>369</v>
      </c>
      <c r="L67" s="4">
        <v>20</v>
      </c>
      <c r="M67" s="5">
        <v>23.5</v>
      </c>
      <c r="N67" s="6">
        <f>L67*M67</f>
        <v>470</v>
      </c>
      <c r="O67" s="2" t="s">
        <v>51</v>
      </c>
      <c r="P67" s="7">
        <v>0.45</v>
      </c>
      <c r="S67" s="6">
        <f>IF(N67&lt;&gt;"",N67,"")</f>
        <v>470</v>
      </c>
    </row>
    <row r="68" spans="1:19" ht="15" customHeight="1" x14ac:dyDescent="0.3">
      <c r="A68" s="2" t="s">
        <v>370</v>
      </c>
      <c r="B68" s="2" t="s">
        <v>371</v>
      </c>
      <c r="C68" s="2" t="s">
        <v>372</v>
      </c>
      <c r="D68" s="2" t="s">
        <v>369</v>
      </c>
      <c r="E68" s="2">
        <v>2</v>
      </c>
      <c r="F68" s="2">
        <v>1</v>
      </c>
      <c r="G68" s="2">
        <v>1</v>
      </c>
      <c r="H68" s="2" t="s">
        <v>373</v>
      </c>
      <c r="S68" s="6" t="str">
        <f>IF(N68&lt;&gt;"",N68,"")</f>
        <v/>
      </c>
    </row>
    <row r="69" spans="1:19" ht="15" customHeight="1" x14ac:dyDescent="0.3">
      <c r="A69" s="2" t="s">
        <v>374</v>
      </c>
      <c r="B69" s="2" t="s">
        <v>375</v>
      </c>
      <c r="C69" s="2" t="s">
        <v>376</v>
      </c>
      <c r="D69" s="2" t="s">
        <v>377</v>
      </c>
      <c r="E69" s="2">
        <v>1</v>
      </c>
      <c r="F69" s="2">
        <v>1</v>
      </c>
      <c r="G69" s="2">
        <v>1</v>
      </c>
      <c r="H69" s="2" t="s">
        <v>49</v>
      </c>
      <c r="I69" s="2" t="s">
        <v>375</v>
      </c>
      <c r="J69" s="2" t="s">
        <v>378</v>
      </c>
      <c r="K69" s="2" t="s">
        <v>377</v>
      </c>
      <c r="L69" s="4">
        <v>14</v>
      </c>
      <c r="M69" s="5">
        <v>4.4000000000000004</v>
      </c>
      <c r="N69" s="6">
        <f>L69*M69</f>
        <v>61.600000000000009</v>
      </c>
      <c r="O69" s="2" t="s">
        <v>51</v>
      </c>
      <c r="P69" s="7">
        <v>0.85714299999999999</v>
      </c>
      <c r="S69" s="6">
        <f>IF(N69&lt;&gt;"",N69,"")</f>
        <v>61.600000000000009</v>
      </c>
    </row>
    <row r="70" spans="1:19" ht="15" customHeight="1" x14ac:dyDescent="0.3">
      <c r="A70" s="2" t="s">
        <v>379</v>
      </c>
      <c r="B70" s="2" t="s">
        <v>380</v>
      </c>
      <c r="C70" s="2" t="s">
        <v>381</v>
      </c>
      <c r="D70" s="2" t="s">
        <v>377</v>
      </c>
      <c r="E70" s="2">
        <v>1</v>
      </c>
      <c r="F70" s="2">
        <v>0</v>
      </c>
      <c r="G70" s="2">
        <v>0</v>
      </c>
      <c r="H70" s="2" t="s">
        <v>49</v>
      </c>
      <c r="I70" s="2" t="s">
        <v>380</v>
      </c>
      <c r="J70" s="2" t="s">
        <v>382</v>
      </c>
      <c r="K70" s="2" t="s">
        <v>383</v>
      </c>
      <c r="L70" s="4">
        <v>25</v>
      </c>
      <c r="M70" s="5">
        <v>20</v>
      </c>
      <c r="N70" s="6">
        <f>L70*M70</f>
        <v>500</v>
      </c>
      <c r="O70" s="2" t="s">
        <v>51</v>
      </c>
      <c r="P70" s="7">
        <v>0.48</v>
      </c>
      <c r="S70" s="6">
        <f>IF(N70&lt;&gt;"",N70,"")</f>
        <v>500</v>
      </c>
    </row>
    <row r="71" spans="1:19" ht="15" customHeight="1" x14ac:dyDescent="0.3">
      <c r="A71" s="2" t="s">
        <v>384</v>
      </c>
      <c r="B71" s="2" t="s">
        <v>385</v>
      </c>
      <c r="C71" s="2" t="s">
        <v>386</v>
      </c>
      <c r="D71" s="2" t="s">
        <v>383</v>
      </c>
      <c r="E71" s="2">
        <v>1</v>
      </c>
      <c r="F71" s="2">
        <v>0</v>
      </c>
      <c r="G71" s="2">
        <v>1</v>
      </c>
      <c r="H71" s="2" t="s">
        <v>49</v>
      </c>
      <c r="I71" s="2" t="s">
        <v>387</v>
      </c>
      <c r="J71" s="2" t="s">
        <v>388</v>
      </c>
      <c r="K71" s="2" t="s">
        <v>377</v>
      </c>
      <c r="L71" s="4">
        <v>16</v>
      </c>
      <c r="M71" s="5">
        <v>5.4</v>
      </c>
      <c r="N71" s="6">
        <f>L71*M71</f>
        <v>86.4</v>
      </c>
      <c r="O71" s="2" t="s">
        <v>51</v>
      </c>
      <c r="P71" s="7">
        <v>0.53906200000000004</v>
      </c>
      <c r="S71" s="6">
        <f>IF(N71&lt;&gt;"",N71,"")</f>
        <v>86.4</v>
      </c>
    </row>
    <row r="72" spans="1:19" ht="15" customHeight="1" x14ac:dyDescent="0.3">
      <c r="A72" s="2" t="s">
        <v>389</v>
      </c>
      <c r="B72" s="2" t="s">
        <v>390</v>
      </c>
      <c r="C72" s="2" t="s">
        <v>391</v>
      </c>
      <c r="D72" s="2" t="s">
        <v>392</v>
      </c>
      <c r="E72" s="2">
        <v>1</v>
      </c>
      <c r="F72" s="2">
        <v>1</v>
      </c>
      <c r="G72" s="2">
        <v>1</v>
      </c>
      <c r="H72" s="8" t="s">
        <v>138</v>
      </c>
      <c r="R72" s="9">
        <v>135</v>
      </c>
      <c r="S72" s="6">
        <f>R72</f>
        <v>135</v>
      </c>
    </row>
    <row r="73" spans="1:19" ht="15" customHeight="1" x14ac:dyDescent="0.3">
      <c r="A73" s="2" t="s">
        <v>393</v>
      </c>
      <c r="B73" s="2" t="s">
        <v>394</v>
      </c>
      <c r="C73" s="2" t="s">
        <v>395</v>
      </c>
      <c r="D73" s="2" t="s">
        <v>392</v>
      </c>
      <c r="E73" s="2">
        <v>1</v>
      </c>
      <c r="F73" s="2">
        <v>1</v>
      </c>
      <c r="G73" s="2">
        <v>1</v>
      </c>
      <c r="H73" s="2" t="s">
        <v>49</v>
      </c>
      <c r="I73" s="2" t="s">
        <v>394</v>
      </c>
      <c r="J73" s="2" t="s">
        <v>396</v>
      </c>
      <c r="K73" s="2" t="s">
        <v>392</v>
      </c>
      <c r="L73" s="4">
        <v>24</v>
      </c>
      <c r="M73" s="5">
        <v>8</v>
      </c>
      <c r="N73" s="6">
        <f t="shared" ref="N73:N79" si="4">L73*M73</f>
        <v>192</v>
      </c>
      <c r="O73" s="2" t="s">
        <v>51</v>
      </c>
      <c r="P73" s="7">
        <v>1.6666700000000001</v>
      </c>
      <c r="S73" s="6">
        <f t="shared" ref="S73:S79" si="5">IF(N73&lt;&gt;"",N73,"")</f>
        <v>192</v>
      </c>
    </row>
    <row r="74" spans="1:19" ht="15" customHeight="1" x14ac:dyDescent="0.3">
      <c r="A74" s="2" t="s">
        <v>397</v>
      </c>
      <c r="B74" s="2" t="s">
        <v>398</v>
      </c>
      <c r="C74" s="2" t="s">
        <v>399</v>
      </c>
      <c r="D74" s="2" t="s">
        <v>400</v>
      </c>
      <c r="E74" s="2">
        <v>1</v>
      </c>
      <c r="F74" s="2">
        <v>1</v>
      </c>
      <c r="G74" s="2">
        <v>1</v>
      </c>
      <c r="H74" s="2" t="s">
        <v>49</v>
      </c>
      <c r="I74" s="2" t="s">
        <v>398</v>
      </c>
      <c r="J74" s="2" t="s">
        <v>401</v>
      </c>
      <c r="K74" s="2" t="s">
        <v>392</v>
      </c>
      <c r="L74" s="4">
        <v>18</v>
      </c>
      <c r="M74" s="5">
        <v>4.25</v>
      </c>
      <c r="N74" s="6">
        <f t="shared" si="4"/>
        <v>76.5</v>
      </c>
      <c r="O74" s="2" t="s">
        <v>51</v>
      </c>
      <c r="P74" s="7">
        <v>1.7777799999999999</v>
      </c>
      <c r="S74" s="6">
        <f t="shared" si="5"/>
        <v>76.5</v>
      </c>
    </row>
    <row r="75" spans="1:19" ht="15" customHeight="1" x14ac:dyDescent="0.3">
      <c r="A75" s="2" t="s">
        <v>402</v>
      </c>
      <c r="B75" s="2" t="s">
        <v>403</v>
      </c>
      <c r="C75" s="2" t="s">
        <v>404</v>
      </c>
      <c r="D75" s="2" t="s">
        <v>400</v>
      </c>
      <c r="E75" s="2">
        <v>1</v>
      </c>
      <c r="F75" s="2">
        <v>1</v>
      </c>
      <c r="G75" s="2">
        <v>1</v>
      </c>
      <c r="H75" s="2" t="s">
        <v>49</v>
      </c>
      <c r="I75" s="2" t="s">
        <v>403</v>
      </c>
      <c r="J75" s="2" t="s">
        <v>405</v>
      </c>
      <c r="K75" s="2" t="s">
        <v>400</v>
      </c>
      <c r="L75" s="4">
        <v>21</v>
      </c>
      <c r="M75" s="5">
        <v>8</v>
      </c>
      <c r="N75" s="6">
        <f t="shared" si="4"/>
        <v>168</v>
      </c>
      <c r="O75" s="2" t="s">
        <v>51</v>
      </c>
      <c r="P75" s="7">
        <v>1.19048</v>
      </c>
      <c r="S75" s="6">
        <f t="shared" si="5"/>
        <v>168</v>
      </c>
    </row>
    <row r="76" spans="1:19" ht="15" customHeight="1" x14ac:dyDescent="0.3">
      <c r="A76" s="2" t="s">
        <v>406</v>
      </c>
      <c r="B76" s="2" t="s">
        <v>407</v>
      </c>
      <c r="C76" s="2" t="s">
        <v>408</v>
      </c>
      <c r="D76" s="2" t="s">
        <v>409</v>
      </c>
      <c r="E76" s="2">
        <v>1</v>
      </c>
      <c r="F76" s="2">
        <v>1</v>
      </c>
      <c r="G76" s="2">
        <v>0</v>
      </c>
      <c r="H76" s="2" t="s">
        <v>49</v>
      </c>
      <c r="I76" s="2" t="s">
        <v>410</v>
      </c>
      <c r="J76" s="2" t="s">
        <v>411</v>
      </c>
      <c r="K76" s="2" t="s">
        <v>400</v>
      </c>
      <c r="L76" s="4">
        <v>25</v>
      </c>
      <c r="M76" s="5">
        <v>5</v>
      </c>
      <c r="N76" s="6">
        <f t="shared" si="4"/>
        <v>125</v>
      </c>
      <c r="O76" s="2" t="s">
        <v>51</v>
      </c>
      <c r="P76" s="7">
        <v>1.8</v>
      </c>
      <c r="S76" s="6">
        <f t="shared" si="5"/>
        <v>125</v>
      </c>
    </row>
    <row r="77" spans="1:19" ht="15" customHeight="1" x14ac:dyDescent="0.3">
      <c r="A77" s="2" t="s">
        <v>412</v>
      </c>
      <c r="B77" s="2" t="s">
        <v>413</v>
      </c>
      <c r="C77" s="2" t="s">
        <v>414</v>
      </c>
      <c r="D77" s="2" t="s">
        <v>409</v>
      </c>
      <c r="E77" s="2">
        <v>1</v>
      </c>
      <c r="F77" s="2">
        <v>0</v>
      </c>
      <c r="G77" s="2">
        <v>0</v>
      </c>
      <c r="H77" s="2" t="s">
        <v>49</v>
      </c>
      <c r="I77" s="2" t="s">
        <v>413</v>
      </c>
      <c r="J77" s="2" t="s">
        <v>415</v>
      </c>
      <c r="K77" s="2" t="s">
        <v>409</v>
      </c>
      <c r="L77" s="4">
        <v>38</v>
      </c>
      <c r="M77" s="5">
        <v>23</v>
      </c>
      <c r="N77" s="6">
        <f t="shared" si="4"/>
        <v>874</v>
      </c>
      <c r="O77" s="2" t="s">
        <v>51</v>
      </c>
      <c r="P77" s="7">
        <v>2.8157899999999998</v>
      </c>
      <c r="S77" s="6">
        <f t="shared" si="5"/>
        <v>874</v>
      </c>
    </row>
    <row r="78" spans="1:19" ht="15" customHeight="1" x14ac:dyDescent="0.3">
      <c r="A78" s="2" t="s">
        <v>416</v>
      </c>
      <c r="B78" s="2" t="s">
        <v>417</v>
      </c>
      <c r="C78" s="2" t="s">
        <v>418</v>
      </c>
      <c r="D78" s="2" t="s">
        <v>419</v>
      </c>
      <c r="E78" s="2">
        <v>1</v>
      </c>
      <c r="F78" s="2">
        <v>0</v>
      </c>
      <c r="G78" s="2">
        <v>1</v>
      </c>
      <c r="H78" s="2" t="s">
        <v>49</v>
      </c>
      <c r="I78" s="2" t="s">
        <v>417</v>
      </c>
      <c r="J78" s="2" t="s">
        <v>420</v>
      </c>
      <c r="K78" s="2" t="s">
        <v>409</v>
      </c>
      <c r="L78" s="4">
        <v>15</v>
      </c>
      <c r="M78" s="5">
        <v>5.5</v>
      </c>
      <c r="N78" s="6">
        <f t="shared" si="4"/>
        <v>82.5</v>
      </c>
      <c r="O78" s="2" t="s">
        <v>51</v>
      </c>
      <c r="P78" s="7">
        <v>1.1333299999999999</v>
      </c>
      <c r="S78" s="6">
        <f t="shared" si="5"/>
        <v>82.5</v>
      </c>
    </row>
    <row r="79" spans="1:19" ht="15" customHeight="1" x14ac:dyDescent="0.3">
      <c r="A79" s="2" t="s">
        <v>421</v>
      </c>
      <c r="B79" s="2" t="s">
        <v>422</v>
      </c>
      <c r="C79" s="2" t="s">
        <v>423</v>
      </c>
      <c r="D79" s="2" t="s">
        <v>419</v>
      </c>
      <c r="E79" s="2">
        <v>1</v>
      </c>
      <c r="F79" s="2">
        <v>1</v>
      </c>
      <c r="G79" s="2">
        <v>1</v>
      </c>
      <c r="H79" s="2" t="s">
        <v>49</v>
      </c>
      <c r="I79" s="2" t="s">
        <v>424</v>
      </c>
      <c r="J79" s="2" t="s">
        <v>425</v>
      </c>
      <c r="K79" s="2" t="s">
        <v>419</v>
      </c>
      <c r="L79" s="4">
        <v>24</v>
      </c>
      <c r="M79" s="5">
        <v>5</v>
      </c>
      <c r="N79" s="6">
        <f t="shared" si="4"/>
        <v>120</v>
      </c>
      <c r="O79" s="2" t="s">
        <v>51</v>
      </c>
      <c r="P79" s="7">
        <v>1.7083299999999999</v>
      </c>
      <c r="S79" s="6">
        <f t="shared" si="5"/>
        <v>120</v>
      </c>
    </row>
    <row r="80" spans="1:19" ht="15" customHeight="1" x14ac:dyDescent="0.3">
      <c r="A80" s="2" t="s">
        <v>426</v>
      </c>
      <c r="B80" s="2" t="s">
        <v>427</v>
      </c>
      <c r="C80" s="2" t="s">
        <v>428</v>
      </c>
      <c r="D80" s="2" t="s">
        <v>419</v>
      </c>
      <c r="E80" s="2">
        <v>1</v>
      </c>
      <c r="F80" s="2">
        <v>1</v>
      </c>
      <c r="G80" s="2">
        <v>0</v>
      </c>
      <c r="H80" s="8" t="s">
        <v>67</v>
      </c>
      <c r="I80" s="2" t="s">
        <v>429</v>
      </c>
      <c r="J80" s="2" t="s">
        <v>430</v>
      </c>
      <c r="K80" s="2" t="s">
        <v>419</v>
      </c>
      <c r="R80" s="9">
        <v>135</v>
      </c>
      <c r="S80" s="6">
        <f>R80</f>
        <v>135</v>
      </c>
    </row>
    <row r="81" spans="1:19" ht="15" customHeight="1" x14ac:dyDescent="0.3">
      <c r="A81" s="2" t="s">
        <v>431</v>
      </c>
      <c r="B81" s="2" t="s">
        <v>432</v>
      </c>
      <c r="C81" s="2" t="s">
        <v>433</v>
      </c>
      <c r="D81" s="2" t="s">
        <v>419</v>
      </c>
      <c r="E81" s="2">
        <v>1</v>
      </c>
      <c r="F81" s="2">
        <v>0</v>
      </c>
      <c r="G81" s="2">
        <v>1</v>
      </c>
      <c r="H81" s="8" t="s">
        <v>138</v>
      </c>
      <c r="R81" s="9">
        <v>135</v>
      </c>
      <c r="S81" s="6">
        <f>R81</f>
        <v>135</v>
      </c>
    </row>
    <row r="82" spans="1:19" ht="15" customHeight="1" x14ac:dyDescent="0.3">
      <c r="A82" s="2" t="s">
        <v>434</v>
      </c>
      <c r="B82" s="2" t="s">
        <v>435</v>
      </c>
      <c r="C82" s="2" t="s">
        <v>436</v>
      </c>
      <c r="D82" s="2" t="s">
        <v>419</v>
      </c>
      <c r="E82" s="2">
        <v>1</v>
      </c>
      <c r="F82" s="2">
        <v>1</v>
      </c>
      <c r="G82" s="2">
        <v>1</v>
      </c>
      <c r="H82" s="2" t="s">
        <v>49</v>
      </c>
      <c r="I82" s="2" t="s">
        <v>437</v>
      </c>
      <c r="J82" s="2" t="s">
        <v>438</v>
      </c>
      <c r="K82" s="2" t="s">
        <v>419</v>
      </c>
      <c r="L82" s="4">
        <v>18</v>
      </c>
      <c r="M82" s="5">
        <v>3.5</v>
      </c>
      <c r="N82" s="6">
        <f>L82*M82</f>
        <v>63</v>
      </c>
      <c r="O82" s="2" t="s">
        <v>51</v>
      </c>
      <c r="P82" s="7">
        <v>0.77777799999999997</v>
      </c>
      <c r="S82" s="6">
        <f>IF(N82&lt;&gt;"",N82,"")</f>
        <v>63</v>
      </c>
    </row>
    <row r="83" spans="1:19" ht="15" customHeight="1" x14ac:dyDescent="0.3">
      <c r="A83" s="2" t="s">
        <v>439</v>
      </c>
      <c r="B83" s="2" t="s">
        <v>440</v>
      </c>
      <c r="C83" s="2" t="s">
        <v>441</v>
      </c>
      <c r="D83" s="2" t="s">
        <v>442</v>
      </c>
      <c r="E83" s="2">
        <v>1</v>
      </c>
      <c r="F83" s="2">
        <v>1</v>
      </c>
      <c r="G83" s="2">
        <v>1</v>
      </c>
      <c r="H83" s="2" t="s">
        <v>49</v>
      </c>
      <c r="I83" s="2" t="s">
        <v>440</v>
      </c>
      <c r="J83" s="2" t="s">
        <v>443</v>
      </c>
      <c r="K83" s="2" t="s">
        <v>419</v>
      </c>
      <c r="L83" s="4">
        <v>24</v>
      </c>
      <c r="M83" s="5">
        <v>3.85</v>
      </c>
      <c r="N83" s="6">
        <f>L83*M83</f>
        <v>92.4</v>
      </c>
      <c r="O83" s="2" t="s">
        <v>51</v>
      </c>
      <c r="P83" s="7">
        <v>1.5416700000000001</v>
      </c>
      <c r="S83" s="6">
        <f>IF(N83&lt;&gt;"",N83,"")</f>
        <v>92.4</v>
      </c>
    </row>
    <row r="84" spans="1:19" ht="15" customHeight="1" x14ac:dyDescent="0.3">
      <c r="A84" s="2" t="s">
        <v>444</v>
      </c>
      <c r="B84" s="2" t="s">
        <v>445</v>
      </c>
      <c r="C84" s="2" t="s">
        <v>446</v>
      </c>
      <c r="D84" s="2" t="s">
        <v>447</v>
      </c>
      <c r="E84" s="2">
        <v>2</v>
      </c>
      <c r="F84" s="2">
        <v>0</v>
      </c>
      <c r="G84" s="2">
        <v>0</v>
      </c>
      <c r="H84" s="2" t="s">
        <v>115</v>
      </c>
      <c r="I84" s="2" t="s">
        <v>448</v>
      </c>
      <c r="J84" s="2" t="s">
        <v>449</v>
      </c>
      <c r="K84" s="2" t="s">
        <v>450</v>
      </c>
      <c r="S84" s="6" t="str">
        <f>IF(N84&lt;&gt;"",N84,"")</f>
        <v/>
      </c>
    </row>
    <row r="85" spans="1:19" ht="15" customHeight="1" x14ac:dyDescent="0.3">
      <c r="A85" s="2" t="s">
        <v>451</v>
      </c>
      <c r="B85" s="2" t="s">
        <v>452</v>
      </c>
      <c r="C85" s="2" t="s">
        <v>453</v>
      </c>
      <c r="D85" s="2" t="s">
        <v>447</v>
      </c>
      <c r="E85" s="2">
        <v>1</v>
      </c>
      <c r="F85" s="2">
        <v>0</v>
      </c>
      <c r="G85" s="2">
        <v>0</v>
      </c>
      <c r="H85" s="8" t="s">
        <v>454</v>
      </c>
      <c r="R85" s="9">
        <v>135</v>
      </c>
      <c r="S85" s="6">
        <f>R85</f>
        <v>135</v>
      </c>
    </row>
    <row r="86" spans="1:19" ht="15" customHeight="1" x14ac:dyDescent="0.3">
      <c r="A86" s="2" t="s">
        <v>455</v>
      </c>
      <c r="B86" s="2" t="s">
        <v>456</v>
      </c>
      <c r="C86" s="2" t="s">
        <v>457</v>
      </c>
      <c r="D86" s="2" t="s">
        <v>447</v>
      </c>
      <c r="E86" s="2">
        <v>1</v>
      </c>
      <c r="F86" s="2">
        <v>1</v>
      </c>
      <c r="G86" s="2">
        <v>0</v>
      </c>
      <c r="H86" s="2" t="s">
        <v>49</v>
      </c>
      <c r="I86" s="2" t="s">
        <v>458</v>
      </c>
      <c r="J86" s="2" t="s">
        <v>459</v>
      </c>
      <c r="K86" s="2" t="s">
        <v>447</v>
      </c>
      <c r="L86" s="4">
        <v>20</v>
      </c>
      <c r="M86" s="5">
        <v>10</v>
      </c>
      <c r="N86" s="6">
        <f>L86*M86</f>
        <v>200</v>
      </c>
      <c r="O86" s="2" t="s">
        <v>51</v>
      </c>
      <c r="P86" s="7">
        <v>0.85</v>
      </c>
      <c r="S86" s="6">
        <f>IF(N86&lt;&gt;"",N86,"")</f>
        <v>200</v>
      </c>
    </row>
    <row r="87" spans="1:19" ht="15" customHeight="1" x14ac:dyDescent="0.3">
      <c r="A87" s="2" t="s">
        <v>460</v>
      </c>
      <c r="B87" s="2" t="s">
        <v>461</v>
      </c>
      <c r="C87" s="2" t="s">
        <v>462</v>
      </c>
      <c r="D87" s="2" t="s">
        <v>463</v>
      </c>
      <c r="E87" s="2">
        <v>1</v>
      </c>
      <c r="F87" s="2">
        <v>1</v>
      </c>
      <c r="G87" s="2">
        <v>0</v>
      </c>
      <c r="H87" s="2" t="s">
        <v>55</v>
      </c>
      <c r="I87" s="2" t="s">
        <v>464</v>
      </c>
      <c r="J87" s="2" t="s">
        <v>465</v>
      </c>
      <c r="K87" s="2" t="s">
        <v>463</v>
      </c>
      <c r="L87" s="4">
        <v>17</v>
      </c>
      <c r="M87" s="5">
        <v>10</v>
      </c>
      <c r="N87" s="6">
        <f>L87*M87</f>
        <v>170</v>
      </c>
      <c r="O87" s="2" t="s">
        <v>51</v>
      </c>
      <c r="P87" s="7">
        <v>0.42647099999999999</v>
      </c>
      <c r="S87" s="6">
        <f>IF(N87&lt;&gt;"",N87,"")</f>
        <v>170</v>
      </c>
    </row>
    <row r="88" spans="1:19" ht="15" customHeight="1" x14ac:dyDescent="0.3">
      <c r="A88" s="2" t="s">
        <v>466</v>
      </c>
      <c r="B88" s="2" t="s">
        <v>467</v>
      </c>
      <c r="C88" s="2" t="s">
        <v>468</v>
      </c>
      <c r="D88" s="2" t="s">
        <v>463</v>
      </c>
      <c r="E88" s="2">
        <v>1</v>
      </c>
      <c r="F88" s="2">
        <v>1</v>
      </c>
      <c r="G88" s="2">
        <v>1</v>
      </c>
      <c r="H88" s="2" t="s">
        <v>49</v>
      </c>
      <c r="I88" s="2" t="s">
        <v>467</v>
      </c>
      <c r="J88" s="2" t="s">
        <v>469</v>
      </c>
      <c r="K88" s="2" t="s">
        <v>463</v>
      </c>
      <c r="L88" s="4">
        <v>10</v>
      </c>
      <c r="M88" s="5">
        <v>4.5</v>
      </c>
      <c r="N88" s="6">
        <f>L88*M88</f>
        <v>45</v>
      </c>
      <c r="O88" s="2" t="s">
        <v>51</v>
      </c>
      <c r="P88" s="7">
        <v>0.35</v>
      </c>
      <c r="S88" s="6">
        <f>IF(N88&lt;&gt;"",N88,"")</f>
        <v>45</v>
      </c>
    </row>
    <row r="89" spans="1:19" ht="15" customHeight="1" x14ac:dyDescent="0.3">
      <c r="A89" s="2" t="s">
        <v>470</v>
      </c>
      <c r="B89" s="2" t="s">
        <v>471</v>
      </c>
      <c r="C89" s="2" t="s">
        <v>472</v>
      </c>
      <c r="D89" s="2" t="s">
        <v>450</v>
      </c>
      <c r="E89" s="2">
        <v>1</v>
      </c>
      <c r="F89" s="2">
        <v>0</v>
      </c>
      <c r="G89" s="2">
        <v>0</v>
      </c>
      <c r="H89" s="8" t="s">
        <v>67</v>
      </c>
      <c r="I89" s="2" t="s">
        <v>473</v>
      </c>
      <c r="J89" s="2" t="s">
        <v>474</v>
      </c>
      <c r="R89" s="9">
        <v>135</v>
      </c>
      <c r="S89" s="6">
        <f>R89</f>
        <v>135</v>
      </c>
    </row>
    <row r="90" spans="1:19" ht="15" customHeight="1" x14ac:dyDescent="0.3">
      <c r="A90" s="2" t="s">
        <v>475</v>
      </c>
      <c r="B90" s="2" t="s">
        <v>476</v>
      </c>
      <c r="C90" s="2" t="s">
        <v>477</v>
      </c>
      <c r="D90" s="2" t="s">
        <v>478</v>
      </c>
      <c r="E90" s="2">
        <v>2</v>
      </c>
      <c r="F90" s="2">
        <v>0</v>
      </c>
      <c r="G90" s="2">
        <v>1</v>
      </c>
      <c r="H90" s="2" t="s">
        <v>115</v>
      </c>
      <c r="I90" s="2" t="s">
        <v>479</v>
      </c>
      <c r="J90" s="2" t="s">
        <v>480</v>
      </c>
      <c r="S90" s="6" t="str">
        <f>IF(N90&lt;&gt;"",N90,"")</f>
        <v/>
      </c>
    </row>
    <row r="91" spans="1:19" ht="15" customHeight="1" x14ac:dyDescent="0.3">
      <c r="A91" s="2" t="s">
        <v>481</v>
      </c>
      <c r="B91" s="2" t="s">
        <v>482</v>
      </c>
      <c r="C91" s="2" t="s">
        <v>483</v>
      </c>
      <c r="D91" s="2" t="s">
        <v>478</v>
      </c>
      <c r="E91" s="2">
        <v>1</v>
      </c>
      <c r="F91" s="2">
        <v>1</v>
      </c>
      <c r="G91" s="2">
        <v>0</v>
      </c>
      <c r="H91" s="2" t="s">
        <v>49</v>
      </c>
      <c r="I91" s="2" t="s">
        <v>482</v>
      </c>
      <c r="J91" s="2" t="s">
        <v>484</v>
      </c>
      <c r="K91" s="2" t="s">
        <v>450</v>
      </c>
      <c r="L91" s="4">
        <v>18</v>
      </c>
      <c r="M91" s="5">
        <v>4</v>
      </c>
      <c r="N91" s="6">
        <f>L91*M91</f>
        <v>72</v>
      </c>
      <c r="O91" s="2" t="s">
        <v>51</v>
      </c>
      <c r="P91" s="7">
        <v>0.44444400000000001</v>
      </c>
      <c r="S91" s="6">
        <f>IF(N91&lt;&gt;"",N91,"")</f>
        <v>72</v>
      </c>
    </row>
    <row r="92" spans="1:19" ht="15" customHeight="1" x14ac:dyDescent="0.3">
      <c r="A92" s="2" t="s">
        <v>485</v>
      </c>
      <c r="B92" s="2" t="s">
        <v>486</v>
      </c>
      <c r="C92" s="2" t="s">
        <v>487</v>
      </c>
      <c r="D92" s="2" t="s">
        <v>478</v>
      </c>
      <c r="E92" s="2">
        <v>1</v>
      </c>
      <c r="F92" s="2">
        <v>1</v>
      </c>
      <c r="G92" s="2">
        <v>1</v>
      </c>
      <c r="H92" s="2" t="s">
        <v>55</v>
      </c>
      <c r="I92" s="2" t="s">
        <v>488</v>
      </c>
      <c r="J92" s="2" t="s">
        <v>489</v>
      </c>
      <c r="K92" s="2" t="s">
        <v>478</v>
      </c>
      <c r="L92" s="4">
        <v>30</v>
      </c>
      <c r="M92" s="5">
        <v>4</v>
      </c>
      <c r="N92" s="6">
        <f>L92*M92</f>
        <v>120</v>
      </c>
      <c r="O92" s="2" t="s">
        <v>51</v>
      </c>
      <c r="P92" s="7">
        <v>2.1333299999999999</v>
      </c>
      <c r="S92" s="6">
        <f>IF(N92&lt;&gt;"",N92,"")</f>
        <v>120</v>
      </c>
    </row>
    <row r="93" spans="1:19" ht="15" customHeight="1" x14ac:dyDescent="0.3">
      <c r="A93" s="2" t="s">
        <v>490</v>
      </c>
      <c r="B93" s="2" t="s">
        <v>491</v>
      </c>
      <c r="C93" s="2" t="s">
        <v>492</v>
      </c>
      <c r="D93" s="2" t="s">
        <v>478</v>
      </c>
      <c r="E93" s="2">
        <v>1</v>
      </c>
      <c r="F93" s="2">
        <v>1</v>
      </c>
      <c r="G93" s="2">
        <v>0</v>
      </c>
      <c r="H93" s="8" t="s">
        <v>454</v>
      </c>
      <c r="R93" s="9">
        <v>135</v>
      </c>
      <c r="S93" s="6">
        <f>R93</f>
        <v>135</v>
      </c>
    </row>
    <row r="94" spans="1:19" ht="15" customHeight="1" x14ac:dyDescent="0.3">
      <c r="A94" s="2" t="s">
        <v>493</v>
      </c>
      <c r="B94" s="2" t="s">
        <v>494</v>
      </c>
      <c r="C94" s="2" t="s">
        <v>495</v>
      </c>
      <c r="D94" s="2" t="s">
        <v>478</v>
      </c>
      <c r="E94" s="2">
        <v>1</v>
      </c>
      <c r="F94" s="2">
        <v>1</v>
      </c>
      <c r="G94" s="2">
        <v>1</v>
      </c>
      <c r="H94" s="2" t="s">
        <v>49</v>
      </c>
      <c r="I94" s="2" t="s">
        <v>494</v>
      </c>
      <c r="J94" s="2" t="s">
        <v>496</v>
      </c>
      <c r="K94" s="2" t="s">
        <v>478</v>
      </c>
      <c r="L94" s="4">
        <v>12</v>
      </c>
      <c r="M94" s="5">
        <v>22</v>
      </c>
      <c r="N94" s="6">
        <f>L94*M94</f>
        <v>264</v>
      </c>
      <c r="O94" s="2" t="s">
        <v>51</v>
      </c>
      <c r="P94" s="7">
        <v>7.2916700000000001E-2</v>
      </c>
      <c r="S94" s="6">
        <f t="shared" ref="S94:S99" si="6">IF(N94&lt;&gt;"",N94,"")</f>
        <v>264</v>
      </c>
    </row>
    <row r="95" spans="1:19" ht="15" customHeight="1" x14ac:dyDescent="0.3">
      <c r="A95" s="2" t="s">
        <v>497</v>
      </c>
      <c r="B95" s="2" t="s">
        <v>498</v>
      </c>
      <c r="C95" s="2" t="s">
        <v>499</v>
      </c>
      <c r="D95" s="2" t="s">
        <v>500</v>
      </c>
      <c r="E95" s="2">
        <v>1</v>
      </c>
      <c r="F95" s="2">
        <v>1</v>
      </c>
      <c r="G95" s="2">
        <v>1</v>
      </c>
      <c r="H95" s="2" t="s">
        <v>49</v>
      </c>
      <c r="I95" s="2" t="s">
        <v>498</v>
      </c>
      <c r="J95" s="2" t="s">
        <v>501</v>
      </c>
      <c r="K95" s="2" t="s">
        <v>478</v>
      </c>
      <c r="L95" s="4">
        <v>19</v>
      </c>
      <c r="M95" s="5">
        <v>5</v>
      </c>
      <c r="N95" s="6">
        <f>L95*M95</f>
        <v>95</v>
      </c>
      <c r="O95" s="2" t="s">
        <v>51</v>
      </c>
      <c r="P95" s="7">
        <v>1.7105300000000001</v>
      </c>
      <c r="S95" s="6">
        <f t="shared" si="6"/>
        <v>95</v>
      </c>
    </row>
    <row r="96" spans="1:19" ht="15" customHeight="1" x14ac:dyDescent="0.3">
      <c r="A96" s="2" t="s">
        <v>502</v>
      </c>
      <c r="B96" s="2" t="s">
        <v>503</v>
      </c>
      <c r="C96" s="2" t="s">
        <v>504</v>
      </c>
      <c r="D96" s="2" t="s">
        <v>500</v>
      </c>
      <c r="E96" s="2">
        <v>2</v>
      </c>
      <c r="F96" s="2">
        <v>0</v>
      </c>
      <c r="G96" s="2">
        <v>0</v>
      </c>
      <c r="H96" s="2" t="s">
        <v>115</v>
      </c>
      <c r="I96" s="2" t="s">
        <v>505</v>
      </c>
      <c r="J96" s="2" t="s">
        <v>502</v>
      </c>
      <c r="S96" s="6" t="str">
        <f t="shared" si="6"/>
        <v/>
      </c>
    </row>
    <row r="97" spans="1:19" ht="15" customHeight="1" x14ac:dyDescent="0.3">
      <c r="A97" s="2" t="s">
        <v>506</v>
      </c>
      <c r="B97" s="2" t="s">
        <v>507</v>
      </c>
      <c r="C97" s="2" t="s">
        <v>508</v>
      </c>
      <c r="D97" s="2" t="s">
        <v>509</v>
      </c>
      <c r="E97" s="2">
        <v>1</v>
      </c>
      <c r="F97" s="2">
        <v>0</v>
      </c>
      <c r="G97" s="2">
        <v>1</v>
      </c>
      <c r="H97" s="2" t="s">
        <v>49</v>
      </c>
      <c r="I97" s="2" t="s">
        <v>510</v>
      </c>
      <c r="J97" s="2" t="s">
        <v>511</v>
      </c>
      <c r="K97" s="2" t="s">
        <v>509</v>
      </c>
      <c r="L97" s="4">
        <v>24</v>
      </c>
      <c r="M97" s="5">
        <v>9.3000000000000007</v>
      </c>
      <c r="N97" s="6">
        <f>L97*M97</f>
        <v>223.20000000000002</v>
      </c>
      <c r="O97" s="2" t="s">
        <v>51</v>
      </c>
      <c r="P97" s="7">
        <v>0.66666700000000001</v>
      </c>
      <c r="S97" s="6">
        <f t="shared" si="6"/>
        <v>223.20000000000002</v>
      </c>
    </row>
    <row r="98" spans="1:19" ht="15" customHeight="1" x14ac:dyDescent="0.3">
      <c r="A98" s="2" t="s">
        <v>512</v>
      </c>
      <c r="B98" s="2" t="s">
        <v>513</v>
      </c>
      <c r="C98" s="2" t="s">
        <v>514</v>
      </c>
      <c r="D98" s="2" t="s">
        <v>509</v>
      </c>
      <c r="E98" s="2">
        <v>1</v>
      </c>
      <c r="F98" s="2">
        <v>1</v>
      </c>
      <c r="G98" s="2">
        <v>1</v>
      </c>
      <c r="H98" s="2" t="s">
        <v>55</v>
      </c>
      <c r="I98" s="2" t="s">
        <v>515</v>
      </c>
      <c r="J98" s="2" t="s">
        <v>516</v>
      </c>
      <c r="K98" s="2" t="s">
        <v>509</v>
      </c>
      <c r="L98" s="4">
        <v>17</v>
      </c>
      <c r="M98" s="5">
        <v>5</v>
      </c>
      <c r="N98" s="6">
        <f>L98*M98</f>
        <v>85</v>
      </c>
      <c r="O98" s="2" t="s">
        <v>51</v>
      </c>
      <c r="P98" s="7">
        <v>1.76471</v>
      </c>
      <c r="S98" s="6">
        <f t="shared" si="6"/>
        <v>85</v>
      </c>
    </row>
    <row r="99" spans="1:19" ht="15" customHeight="1" x14ac:dyDescent="0.3">
      <c r="A99" s="2" t="s">
        <v>517</v>
      </c>
      <c r="B99" s="2" t="s">
        <v>518</v>
      </c>
      <c r="C99" s="2" t="s">
        <v>519</v>
      </c>
      <c r="D99" s="2" t="s">
        <v>509</v>
      </c>
      <c r="E99" s="2">
        <v>2</v>
      </c>
      <c r="F99" s="2">
        <v>0</v>
      </c>
      <c r="G99" s="2">
        <v>0</v>
      </c>
      <c r="H99" s="2" t="s">
        <v>5</v>
      </c>
      <c r="I99" s="2" t="s">
        <v>520</v>
      </c>
      <c r="J99" s="2" t="s">
        <v>517</v>
      </c>
      <c r="K99" s="2" t="s">
        <v>509</v>
      </c>
      <c r="N99" s="6">
        <v>5200</v>
      </c>
      <c r="O99" s="2" t="s">
        <v>521</v>
      </c>
      <c r="Q99" s="2" t="s">
        <v>522</v>
      </c>
      <c r="S99" s="6">
        <f t="shared" si="6"/>
        <v>5200</v>
      </c>
    </row>
    <row r="100" spans="1:19" ht="15" customHeight="1" x14ac:dyDescent="0.3">
      <c r="A100" s="2" t="s">
        <v>523</v>
      </c>
      <c r="B100" s="2" t="s">
        <v>524</v>
      </c>
      <c r="C100" s="2" t="s">
        <v>525</v>
      </c>
      <c r="D100" s="2" t="s">
        <v>509</v>
      </c>
      <c r="E100" s="2">
        <v>1</v>
      </c>
      <c r="F100" s="2">
        <v>1</v>
      </c>
      <c r="G100" s="2">
        <v>0</v>
      </c>
      <c r="H100" s="8" t="s">
        <v>138</v>
      </c>
      <c r="R100" s="9">
        <v>135</v>
      </c>
      <c r="S100" s="6">
        <f>R100</f>
        <v>135</v>
      </c>
    </row>
    <row r="101" spans="1:19" ht="15" customHeight="1" x14ac:dyDescent="0.3">
      <c r="A101" s="2" t="s">
        <v>526</v>
      </c>
      <c r="B101" s="2" t="s">
        <v>527</v>
      </c>
      <c r="C101" s="2" t="s">
        <v>528</v>
      </c>
      <c r="D101" s="2" t="s">
        <v>529</v>
      </c>
      <c r="E101" s="2">
        <v>2</v>
      </c>
      <c r="F101" s="2">
        <v>1</v>
      </c>
      <c r="G101" s="2">
        <v>1</v>
      </c>
      <c r="H101" s="2" t="s">
        <v>115</v>
      </c>
      <c r="I101" s="2" t="s">
        <v>530</v>
      </c>
      <c r="J101" s="2" t="s">
        <v>531</v>
      </c>
      <c r="K101" s="2" t="s">
        <v>529</v>
      </c>
      <c r="S101" s="6" t="str">
        <f>IF(N101&lt;&gt;"",N101,"")</f>
        <v/>
      </c>
    </row>
    <row r="102" spans="1:19" ht="15" customHeight="1" x14ac:dyDescent="0.3">
      <c r="A102" s="2" t="s">
        <v>532</v>
      </c>
      <c r="B102" s="2" t="s">
        <v>533</v>
      </c>
      <c r="C102" s="2" t="s">
        <v>534</v>
      </c>
      <c r="D102" s="2" t="s">
        <v>535</v>
      </c>
      <c r="E102" s="2">
        <v>1</v>
      </c>
      <c r="F102" s="2">
        <v>1</v>
      </c>
      <c r="G102" s="2">
        <v>1</v>
      </c>
      <c r="H102" s="2" t="s">
        <v>49</v>
      </c>
      <c r="I102" s="2" t="s">
        <v>536</v>
      </c>
      <c r="J102" s="2" t="s">
        <v>537</v>
      </c>
      <c r="K102" s="2" t="s">
        <v>535</v>
      </c>
      <c r="L102" s="4">
        <v>16</v>
      </c>
      <c r="M102" s="5">
        <v>2.76</v>
      </c>
      <c r="N102" s="6">
        <f>L102*M102</f>
        <v>44.16</v>
      </c>
      <c r="O102" s="2" t="s">
        <v>51</v>
      </c>
      <c r="S102" s="6">
        <f>IF(N102&lt;&gt;"",N102,"")</f>
        <v>44.16</v>
      </c>
    </row>
    <row r="103" spans="1:19" ht="15" customHeight="1" x14ac:dyDescent="0.3">
      <c r="A103" s="2" t="s">
        <v>538</v>
      </c>
      <c r="B103" s="2" t="s">
        <v>539</v>
      </c>
      <c r="C103" s="2" t="s">
        <v>540</v>
      </c>
      <c r="D103" s="2" t="s">
        <v>535</v>
      </c>
      <c r="E103" s="2">
        <v>1</v>
      </c>
      <c r="F103" s="2">
        <v>1</v>
      </c>
      <c r="G103" s="2">
        <v>1</v>
      </c>
      <c r="H103" s="2" t="s">
        <v>49</v>
      </c>
      <c r="I103" s="2" t="s">
        <v>539</v>
      </c>
      <c r="J103" s="2" t="s">
        <v>541</v>
      </c>
      <c r="K103" s="2" t="s">
        <v>529</v>
      </c>
      <c r="L103" s="4">
        <v>16</v>
      </c>
      <c r="M103" s="5">
        <v>4.5</v>
      </c>
      <c r="N103" s="6">
        <f>L103*M103</f>
        <v>72</v>
      </c>
      <c r="O103" s="2" t="s">
        <v>51</v>
      </c>
      <c r="P103" s="7">
        <v>1.9375</v>
      </c>
      <c r="S103" s="6">
        <f>IF(N103&lt;&gt;"",N103,"")</f>
        <v>72</v>
      </c>
    </row>
    <row r="104" spans="1:19" ht="15" customHeight="1" x14ac:dyDescent="0.3">
      <c r="A104" s="2" t="s">
        <v>542</v>
      </c>
      <c r="B104" s="2" t="s">
        <v>543</v>
      </c>
      <c r="C104" s="2" t="s">
        <v>544</v>
      </c>
      <c r="D104" s="2" t="s">
        <v>535</v>
      </c>
      <c r="E104" s="2">
        <v>1</v>
      </c>
      <c r="F104" s="2">
        <v>0</v>
      </c>
      <c r="G104" s="2">
        <v>0</v>
      </c>
      <c r="H104" s="8" t="s">
        <v>138</v>
      </c>
      <c r="R104" s="9">
        <v>135</v>
      </c>
      <c r="S104" s="6">
        <f>R104</f>
        <v>135</v>
      </c>
    </row>
    <row r="105" spans="1:19" ht="15" customHeight="1" x14ac:dyDescent="0.3">
      <c r="A105" s="2" t="s">
        <v>545</v>
      </c>
      <c r="B105" s="2" t="s">
        <v>546</v>
      </c>
      <c r="C105" s="2" t="s">
        <v>547</v>
      </c>
      <c r="D105" s="2" t="s">
        <v>535</v>
      </c>
      <c r="E105" s="2">
        <v>2</v>
      </c>
      <c r="F105" s="2">
        <v>0</v>
      </c>
      <c r="G105" s="2">
        <v>0</v>
      </c>
      <c r="H105" s="2" t="s">
        <v>115</v>
      </c>
      <c r="I105" s="2" t="s">
        <v>548</v>
      </c>
      <c r="J105" s="2" t="s">
        <v>549</v>
      </c>
      <c r="S105" s="6" t="str">
        <f>IF(N105&lt;&gt;"",N105,"")</f>
        <v/>
      </c>
    </row>
    <row r="106" spans="1:19" ht="15" customHeight="1" x14ac:dyDescent="0.3">
      <c r="A106" s="2" t="s">
        <v>550</v>
      </c>
      <c r="B106" s="2" t="s">
        <v>551</v>
      </c>
      <c r="C106" s="2" t="s">
        <v>552</v>
      </c>
      <c r="D106" s="2" t="s">
        <v>553</v>
      </c>
      <c r="E106" s="2">
        <v>2</v>
      </c>
      <c r="F106" s="2">
        <v>0</v>
      </c>
      <c r="G106" s="2">
        <v>0</v>
      </c>
      <c r="H106" s="2" t="s">
        <v>115</v>
      </c>
      <c r="I106" s="2" t="s">
        <v>554</v>
      </c>
      <c r="J106" s="2" t="s">
        <v>555</v>
      </c>
      <c r="S106" s="6" t="str">
        <f>IF(N106&lt;&gt;"",N106,"")</f>
        <v/>
      </c>
    </row>
    <row r="107" spans="1:19" ht="15" customHeight="1" x14ac:dyDescent="0.3">
      <c r="A107" s="2" t="s">
        <v>556</v>
      </c>
      <c r="B107" s="2" t="s">
        <v>557</v>
      </c>
      <c r="C107" s="2" t="s">
        <v>558</v>
      </c>
      <c r="D107" s="2" t="s">
        <v>553</v>
      </c>
      <c r="E107" s="2">
        <v>1</v>
      </c>
      <c r="F107" s="2">
        <v>1</v>
      </c>
      <c r="G107" s="2">
        <v>1</v>
      </c>
      <c r="H107" s="2" t="s">
        <v>49</v>
      </c>
      <c r="I107" s="2" t="s">
        <v>559</v>
      </c>
      <c r="J107" s="2" t="s">
        <v>560</v>
      </c>
      <c r="K107" s="2" t="s">
        <v>553</v>
      </c>
      <c r="L107" s="4">
        <v>14</v>
      </c>
      <c r="M107" s="5">
        <v>11</v>
      </c>
      <c r="N107" s="6">
        <f>L107*M107</f>
        <v>154</v>
      </c>
      <c r="O107" s="2" t="s">
        <v>51</v>
      </c>
      <c r="P107" s="7">
        <v>1</v>
      </c>
      <c r="S107" s="6">
        <f>IF(N107&lt;&gt;"",N107,"")</f>
        <v>154</v>
      </c>
    </row>
    <row r="108" spans="1:19" ht="15" customHeight="1" x14ac:dyDescent="0.3">
      <c r="A108" s="2" t="s">
        <v>561</v>
      </c>
      <c r="B108" s="2" t="s">
        <v>562</v>
      </c>
      <c r="C108" s="2" t="s">
        <v>563</v>
      </c>
      <c r="D108" s="2" t="s">
        <v>564</v>
      </c>
      <c r="E108" s="2">
        <v>1</v>
      </c>
      <c r="F108" s="2">
        <v>1</v>
      </c>
      <c r="G108" s="2">
        <v>1</v>
      </c>
      <c r="H108" s="8" t="s">
        <v>67</v>
      </c>
      <c r="I108" s="2" t="s">
        <v>565</v>
      </c>
      <c r="J108" s="2" t="s">
        <v>566</v>
      </c>
      <c r="R108" s="9">
        <v>135</v>
      </c>
      <c r="S108" s="6">
        <f>R108</f>
        <v>135</v>
      </c>
    </row>
    <row r="109" spans="1:19" ht="15" customHeight="1" x14ac:dyDescent="0.3">
      <c r="A109" s="2" t="s">
        <v>567</v>
      </c>
      <c r="B109" s="2" t="s">
        <v>568</v>
      </c>
      <c r="C109" s="2" t="s">
        <v>569</v>
      </c>
      <c r="D109" s="2" t="s">
        <v>564</v>
      </c>
      <c r="E109" s="2">
        <v>1</v>
      </c>
      <c r="F109" s="2">
        <v>1</v>
      </c>
      <c r="G109" s="2">
        <v>1</v>
      </c>
      <c r="H109" s="2" t="s">
        <v>49</v>
      </c>
      <c r="I109" s="2" t="s">
        <v>568</v>
      </c>
      <c r="J109" s="2" t="s">
        <v>570</v>
      </c>
      <c r="K109" s="2" t="s">
        <v>564</v>
      </c>
      <c r="L109" s="4">
        <v>15</v>
      </c>
      <c r="M109" s="5">
        <v>4.5999999999999996</v>
      </c>
      <c r="N109" s="6">
        <f>L109*M109</f>
        <v>69</v>
      </c>
      <c r="O109" s="2" t="s">
        <v>51</v>
      </c>
      <c r="P109" s="7">
        <v>0.26666699999999999</v>
      </c>
      <c r="S109" s="6">
        <f>IF(N109&lt;&gt;"",N109,"")</f>
        <v>69</v>
      </c>
    </row>
    <row r="110" spans="1:19" ht="15" customHeight="1" x14ac:dyDescent="0.3">
      <c r="A110" s="2" t="s">
        <v>571</v>
      </c>
      <c r="B110" s="2" t="s">
        <v>572</v>
      </c>
      <c r="C110" s="2" t="s">
        <v>573</v>
      </c>
      <c r="D110" s="2" t="s">
        <v>574</v>
      </c>
      <c r="E110" s="2">
        <v>1</v>
      </c>
      <c r="F110" s="2">
        <v>1</v>
      </c>
      <c r="G110" s="2">
        <v>1</v>
      </c>
      <c r="H110" s="8" t="s">
        <v>138</v>
      </c>
      <c r="R110" s="9">
        <v>135</v>
      </c>
      <c r="S110" s="6">
        <f>R110</f>
        <v>135</v>
      </c>
    </row>
    <row r="111" spans="1:19" ht="15" customHeight="1" x14ac:dyDescent="0.3">
      <c r="A111" s="2" t="s">
        <v>575</v>
      </c>
      <c r="B111" s="2" t="s">
        <v>576</v>
      </c>
      <c r="C111" s="2" t="s">
        <v>577</v>
      </c>
      <c r="D111" s="2" t="s">
        <v>578</v>
      </c>
      <c r="E111" s="2">
        <v>1</v>
      </c>
      <c r="F111" s="2">
        <v>1</v>
      </c>
      <c r="G111" s="2">
        <v>0</v>
      </c>
      <c r="H111" s="2" t="s">
        <v>49</v>
      </c>
      <c r="I111" s="2" t="s">
        <v>576</v>
      </c>
      <c r="J111" s="2" t="s">
        <v>579</v>
      </c>
      <c r="K111" s="2" t="s">
        <v>578</v>
      </c>
      <c r="L111" s="4">
        <v>21</v>
      </c>
      <c r="M111" s="5">
        <v>9</v>
      </c>
      <c r="N111" s="6">
        <f>L111*M111</f>
        <v>189</v>
      </c>
      <c r="O111" s="2" t="s">
        <v>51</v>
      </c>
      <c r="P111" s="7">
        <v>0.45238099999999998</v>
      </c>
      <c r="S111" s="6">
        <f>IF(N111&lt;&gt;"",N111,"")</f>
        <v>189</v>
      </c>
    </row>
    <row r="112" spans="1:19" ht="15" customHeight="1" x14ac:dyDescent="0.3">
      <c r="A112" s="2" t="s">
        <v>580</v>
      </c>
      <c r="B112" s="2" t="s">
        <v>581</v>
      </c>
      <c r="C112" s="2" t="s">
        <v>582</v>
      </c>
      <c r="D112" s="2" t="s">
        <v>578</v>
      </c>
      <c r="E112" s="2">
        <v>1</v>
      </c>
      <c r="F112" s="2">
        <v>0</v>
      </c>
      <c r="G112" s="2">
        <v>1</v>
      </c>
      <c r="H112" s="8" t="s">
        <v>138</v>
      </c>
      <c r="R112" s="9">
        <v>135</v>
      </c>
      <c r="S112" s="6">
        <f>R112</f>
        <v>135</v>
      </c>
    </row>
    <row r="113" spans="1:19" ht="15" customHeight="1" x14ac:dyDescent="0.3">
      <c r="A113" s="2" t="s">
        <v>583</v>
      </c>
      <c r="B113" s="2" t="s">
        <v>584</v>
      </c>
      <c r="C113" s="2" t="s">
        <v>585</v>
      </c>
      <c r="D113" s="2" t="s">
        <v>586</v>
      </c>
      <c r="E113" s="2">
        <v>1</v>
      </c>
      <c r="F113" s="2">
        <v>1</v>
      </c>
      <c r="G113" s="2">
        <v>1</v>
      </c>
      <c r="H113" s="2" t="s">
        <v>49</v>
      </c>
      <c r="I113" s="2" t="s">
        <v>587</v>
      </c>
      <c r="J113" s="2" t="s">
        <v>588</v>
      </c>
      <c r="K113" s="2" t="s">
        <v>589</v>
      </c>
      <c r="L113" s="4">
        <v>16</v>
      </c>
      <c r="M113" s="5">
        <v>4</v>
      </c>
      <c r="N113" s="6">
        <f>L113*M113</f>
        <v>64</v>
      </c>
      <c r="O113" s="2" t="s">
        <v>51</v>
      </c>
      <c r="P113" s="7">
        <v>1.14062</v>
      </c>
      <c r="S113" s="6">
        <f>IF(N113&lt;&gt;"",N113,"")</f>
        <v>64</v>
      </c>
    </row>
    <row r="114" spans="1:19" ht="15" customHeight="1" x14ac:dyDescent="0.3">
      <c r="A114" s="2" t="s">
        <v>590</v>
      </c>
      <c r="B114" s="2" t="s">
        <v>591</v>
      </c>
      <c r="C114" s="2" t="s">
        <v>592</v>
      </c>
      <c r="D114" s="2" t="s">
        <v>586</v>
      </c>
      <c r="E114" s="2">
        <v>1</v>
      </c>
      <c r="F114" s="2">
        <v>1</v>
      </c>
      <c r="G114" s="2">
        <v>0</v>
      </c>
      <c r="H114" s="8" t="s">
        <v>138</v>
      </c>
      <c r="R114" s="9">
        <v>135</v>
      </c>
      <c r="S114" s="6">
        <f>R114</f>
        <v>135</v>
      </c>
    </row>
    <row r="115" spans="1:19" ht="15" customHeight="1" x14ac:dyDescent="0.3">
      <c r="A115" s="2" t="s">
        <v>593</v>
      </c>
      <c r="B115" s="2" t="s">
        <v>594</v>
      </c>
      <c r="C115" s="2" t="s">
        <v>595</v>
      </c>
      <c r="D115" s="2" t="s">
        <v>586</v>
      </c>
      <c r="E115" s="2">
        <v>1</v>
      </c>
      <c r="F115" s="2">
        <v>0</v>
      </c>
      <c r="G115" s="2">
        <v>0</v>
      </c>
      <c r="H115" s="2" t="s">
        <v>49</v>
      </c>
      <c r="I115" s="2" t="s">
        <v>596</v>
      </c>
      <c r="J115" s="2" t="s">
        <v>597</v>
      </c>
      <c r="K115" s="2" t="s">
        <v>586</v>
      </c>
      <c r="L115" s="4">
        <v>12</v>
      </c>
      <c r="M115" s="5">
        <v>3.5</v>
      </c>
      <c r="N115" s="6">
        <f>L115*M115</f>
        <v>42</v>
      </c>
      <c r="O115" s="2" t="s">
        <v>51</v>
      </c>
      <c r="P115" s="7">
        <v>0.91666700000000001</v>
      </c>
      <c r="S115" s="6">
        <f>IF(N115&lt;&gt;"",N115,"")</f>
        <v>42</v>
      </c>
    </row>
    <row r="116" spans="1:19" ht="15" customHeight="1" x14ac:dyDescent="0.3">
      <c r="A116" s="2" t="s">
        <v>598</v>
      </c>
      <c r="B116" s="2" t="s">
        <v>599</v>
      </c>
      <c r="C116" s="2" t="s">
        <v>600</v>
      </c>
      <c r="D116" s="2" t="s">
        <v>586</v>
      </c>
      <c r="E116" s="2">
        <v>1</v>
      </c>
      <c r="F116" s="2">
        <v>0</v>
      </c>
      <c r="G116" s="2">
        <v>1</v>
      </c>
      <c r="H116" s="2" t="s">
        <v>49</v>
      </c>
      <c r="I116" s="2" t="s">
        <v>601</v>
      </c>
      <c r="J116" s="2" t="s">
        <v>602</v>
      </c>
      <c r="K116" s="2" t="s">
        <v>586</v>
      </c>
      <c r="L116" s="4">
        <v>13</v>
      </c>
      <c r="M116" s="5">
        <v>3.5</v>
      </c>
      <c r="N116" s="6">
        <f>L116*M116</f>
        <v>45.5</v>
      </c>
      <c r="O116" s="2" t="s">
        <v>51</v>
      </c>
      <c r="P116" s="7">
        <v>0</v>
      </c>
      <c r="S116" s="6">
        <f>IF(N116&lt;&gt;"",N116,"")</f>
        <v>45.5</v>
      </c>
    </row>
    <row r="117" spans="1:19" ht="15" customHeight="1" x14ac:dyDescent="0.3">
      <c r="A117" s="2" t="s">
        <v>603</v>
      </c>
      <c r="B117" s="2" t="s">
        <v>604</v>
      </c>
      <c r="C117" s="2" t="s">
        <v>605</v>
      </c>
      <c r="D117" s="2" t="s">
        <v>589</v>
      </c>
      <c r="E117" s="2">
        <v>1</v>
      </c>
      <c r="F117" s="2">
        <v>1</v>
      </c>
      <c r="G117" s="2">
        <v>0</v>
      </c>
      <c r="H117" s="2" t="s">
        <v>49</v>
      </c>
      <c r="I117" s="2" t="s">
        <v>604</v>
      </c>
      <c r="J117" s="2" t="s">
        <v>606</v>
      </c>
      <c r="K117" s="2" t="s">
        <v>607</v>
      </c>
      <c r="L117" s="4">
        <v>31</v>
      </c>
      <c r="M117" s="5">
        <v>3.2</v>
      </c>
      <c r="N117" s="6">
        <f>L117*M117</f>
        <v>99.2</v>
      </c>
      <c r="O117" s="2" t="s">
        <v>51</v>
      </c>
      <c r="P117" s="7">
        <v>1.03226</v>
      </c>
      <c r="S117" s="6">
        <f>IF(N117&lt;&gt;"",N117,"")</f>
        <v>99.2</v>
      </c>
    </row>
    <row r="118" spans="1:19" ht="15" customHeight="1" x14ac:dyDescent="0.3">
      <c r="A118" s="2" t="s">
        <v>608</v>
      </c>
      <c r="B118" s="2" t="s">
        <v>609</v>
      </c>
      <c r="C118" s="2" t="s">
        <v>610</v>
      </c>
      <c r="D118" s="2" t="s">
        <v>589</v>
      </c>
      <c r="E118" s="2">
        <v>1</v>
      </c>
      <c r="F118" s="2">
        <v>0</v>
      </c>
      <c r="G118" s="2">
        <v>0</v>
      </c>
      <c r="H118" s="8" t="s">
        <v>454</v>
      </c>
      <c r="R118" s="9">
        <v>135</v>
      </c>
      <c r="S118" s="6">
        <f>R118</f>
        <v>135</v>
      </c>
    </row>
    <row r="119" spans="1:19" ht="15" customHeight="1" x14ac:dyDescent="0.3">
      <c r="A119" s="2" t="s">
        <v>611</v>
      </c>
      <c r="B119" s="2" t="s">
        <v>612</v>
      </c>
      <c r="C119" s="2" t="s">
        <v>613</v>
      </c>
      <c r="D119" s="2" t="s">
        <v>589</v>
      </c>
      <c r="E119" s="2">
        <v>1</v>
      </c>
      <c r="F119" s="2">
        <v>0</v>
      </c>
      <c r="G119" s="2">
        <v>0</v>
      </c>
      <c r="H119" s="2" t="s">
        <v>49</v>
      </c>
      <c r="I119" s="2" t="s">
        <v>614</v>
      </c>
      <c r="J119" s="2" t="s">
        <v>615</v>
      </c>
      <c r="K119" s="2" t="s">
        <v>607</v>
      </c>
      <c r="L119" s="4">
        <v>21</v>
      </c>
      <c r="M119" s="5">
        <v>44</v>
      </c>
      <c r="N119" s="6">
        <f t="shared" ref="N119:N125" si="7">L119*M119</f>
        <v>924</v>
      </c>
      <c r="O119" s="2" t="s">
        <v>51</v>
      </c>
      <c r="P119" s="7">
        <v>4.7619000000000002E-2</v>
      </c>
      <c r="S119" s="6">
        <f t="shared" ref="S119:S125" si="8">IF(N119&lt;&gt;"",N119,"")</f>
        <v>924</v>
      </c>
    </row>
    <row r="120" spans="1:19" ht="15" customHeight="1" x14ac:dyDescent="0.3">
      <c r="A120" s="2" t="s">
        <v>616</v>
      </c>
      <c r="B120" s="2" t="s">
        <v>617</v>
      </c>
      <c r="C120" s="2" t="s">
        <v>618</v>
      </c>
      <c r="D120" s="2" t="s">
        <v>607</v>
      </c>
      <c r="E120" s="2">
        <v>1</v>
      </c>
      <c r="F120" s="2">
        <v>1</v>
      </c>
      <c r="G120" s="2">
        <v>0</v>
      </c>
      <c r="H120" s="2" t="s">
        <v>49</v>
      </c>
      <c r="I120" s="2" t="s">
        <v>617</v>
      </c>
      <c r="J120" s="2" t="s">
        <v>619</v>
      </c>
      <c r="K120" s="2" t="s">
        <v>607</v>
      </c>
      <c r="L120" s="4">
        <v>20</v>
      </c>
      <c r="M120" s="5">
        <v>6.25</v>
      </c>
      <c r="N120" s="6">
        <f t="shared" si="7"/>
        <v>125</v>
      </c>
      <c r="O120" s="2" t="s">
        <v>51</v>
      </c>
      <c r="P120" s="7">
        <v>0.50624999999999998</v>
      </c>
      <c r="S120" s="6">
        <f t="shared" si="8"/>
        <v>125</v>
      </c>
    </row>
    <row r="121" spans="1:19" ht="15" customHeight="1" x14ac:dyDescent="0.3">
      <c r="A121" s="2" t="s">
        <v>620</v>
      </c>
      <c r="B121" s="2" t="s">
        <v>621</v>
      </c>
      <c r="C121" s="2" t="s">
        <v>622</v>
      </c>
      <c r="D121" s="2" t="s">
        <v>607</v>
      </c>
      <c r="E121" s="2">
        <v>1</v>
      </c>
      <c r="F121" s="2">
        <v>1</v>
      </c>
      <c r="G121" s="2">
        <v>1</v>
      </c>
      <c r="H121" s="2" t="s">
        <v>55</v>
      </c>
      <c r="I121" s="2" t="s">
        <v>623</v>
      </c>
      <c r="J121" s="2" t="s">
        <v>624</v>
      </c>
      <c r="K121" s="2" t="s">
        <v>607</v>
      </c>
      <c r="L121" s="4">
        <v>12</v>
      </c>
      <c r="M121" s="5">
        <v>4.5</v>
      </c>
      <c r="N121" s="6">
        <f t="shared" si="7"/>
        <v>54</v>
      </c>
      <c r="O121" s="2" t="s">
        <v>51</v>
      </c>
      <c r="P121" s="7">
        <v>1.0416699999999999E-2</v>
      </c>
      <c r="S121" s="6">
        <f t="shared" si="8"/>
        <v>54</v>
      </c>
    </row>
    <row r="122" spans="1:19" ht="15" customHeight="1" x14ac:dyDescent="0.3">
      <c r="A122" s="2" t="s">
        <v>625</v>
      </c>
      <c r="B122" s="2" t="s">
        <v>626</v>
      </c>
      <c r="C122" s="2" t="s">
        <v>627</v>
      </c>
      <c r="D122" s="2" t="s">
        <v>607</v>
      </c>
      <c r="E122" s="2">
        <v>1</v>
      </c>
      <c r="F122" s="2">
        <v>1</v>
      </c>
      <c r="G122" s="2">
        <v>0</v>
      </c>
      <c r="H122" s="2" t="s">
        <v>49</v>
      </c>
      <c r="I122" s="2" t="s">
        <v>628</v>
      </c>
      <c r="J122" s="2" t="s">
        <v>629</v>
      </c>
      <c r="K122" s="2" t="s">
        <v>589</v>
      </c>
      <c r="L122" s="4">
        <v>9</v>
      </c>
      <c r="M122" s="5">
        <v>20</v>
      </c>
      <c r="N122" s="6">
        <f t="shared" si="7"/>
        <v>180</v>
      </c>
      <c r="O122" s="2" t="s">
        <v>51</v>
      </c>
      <c r="P122" s="7">
        <v>-6.9444400000000003E-2</v>
      </c>
      <c r="S122" s="6">
        <f t="shared" si="8"/>
        <v>180</v>
      </c>
    </row>
    <row r="123" spans="1:19" ht="15" customHeight="1" x14ac:dyDescent="0.3">
      <c r="A123" s="2" t="s">
        <v>630</v>
      </c>
      <c r="B123" s="2" t="s">
        <v>631</v>
      </c>
      <c r="C123" s="2" t="s">
        <v>632</v>
      </c>
      <c r="D123" s="2" t="s">
        <v>607</v>
      </c>
      <c r="E123" s="2">
        <v>1</v>
      </c>
      <c r="F123" s="2">
        <v>1</v>
      </c>
      <c r="G123" s="2">
        <v>0</v>
      </c>
      <c r="H123" s="2" t="s">
        <v>49</v>
      </c>
      <c r="I123" s="2" t="s">
        <v>633</v>
      </c>
      <c r="J123" s="2" t="s">
        <v>634</v>
      </c>
      <c r="K123" s="2" t="s">
        <v>607</v>
      </c>
      <c r="L123" s="4">
        <v>15</v>
      </c>
      <c r="M123" s="5">
        <v>4</v>
      </c>
      <c r="N123" s="6">
        <f t="shared" si="7"/>
        <v>60</v>
      </c>
      <c r="O123" s="2" t="s">
        <v>51</v>
      </c>
      <c r="P123" s="7">
        <v>0.56666700000000003</v>
      </c>
      <c r="S123" s="6">
        <f t="shared" si="8"/>
        <v>60</v>
      </c>
    </row>
    <row r="124" spans="1:19" ht="15" customHeight="1" x14ac:dyDescent="0.3">
      <c r="A124" s="2" t="s">
        <v>635</v>
      </c>
      <c r="B124" s="2" t="s">
        <v>636</v>
      </c>
      <c r="C124" s="2" t="s">
        <v>637</v>
      </c>
      <c r="D124" s="2" t="s">
        <v>638</v>
      </c>
      <c r="E124" s="2">
        <v>1</v>
      </c>
      <c r="F124" s="2">
        <v>1</v>
      </c>
      <c r="G124" s="2">
        <v>0</v>
      </c>
      <c r="H124" s="2" t="s">
        <v>49</v>
      </c>
      <c r="I124" s="2" t="s">
        <v>636</v>
      </c>
      <c r="J124" s="2" t="s">
        <v>639</v>
      </c>
      <c r="K124" s="2" t="s">
        <v>640</v>
      </c>
      <c r="L124" s="4">
        <v>18</v>
      </c>
      <c r="M124" s="5">
        <v>5</v>
      </c>
      <c r="N124" s="6">
        <f t="shared" si="7"/>
        <v>90</v>
      </c>
      <c r="O124" s="2" t="s">
        <v>51</v>
      </c>
      <c r="P124" s="7">
        <v>-0.16666700000000001</v>
      </c>
      <c r="S124" s="6">
        <f t="shared" si="8"/>
        <v>90</v>
      </c>
    </row>
    <row r="125" spans="1:19" ht="15" customHeight="1" x14ac:dyDescent="0.3">
      <c r="A125" s="2" t="s">
        <v>641</v>
      </c>
      <c r="B125" s="2" t="s">
        <v>642</v>
      </c>
      <c r="C125" s="2" t="s">
        <v>643</v>
      </c>
      <c r="D125" s="2" t="s">
        <v>638</v>
      </c>
      <c r="E125" s="2">
        <v>1</v>
      </c>
      <c r="F125" s="2">
        <v>1</v>
      </c>
      <c r="G125" s="2">
        <v>1</v>
      </c>
      <c r="H125" s="2" t="s">
        <v>49</v>
      </c>
      <c r="I125" s="2" t="s">
        <v>642</v>
      </c>
      <c r="J125" s="2" t="s">
        <v>644</v>
      </c>
      <c r="K125" s="2" t="s">
        <v>638</v>
      </c>
      <c r="L125" s="4">
        <v>12</v>
      </c>
      <c r="M125" s="5">
        <v>5</v>
      </c>
      <c r="N125" s="6">
        <f t="shared" si="7"/>
        <v>60</v>
      </c>
      <c r="O125" s="2" t="s">
        <v>51</v>
      </c>
      <c r="P125" s="7">
        <v>0</v>
      </c>
      <c r="S125" s="6">
        <f t="shared" si="8"/>
        <v>60</v>
      </c>
    </row>
    <row r="126" spans="1:19" ht="15" customHeight="1" x14ac:dyDescent="0.3">
      <c r="A126" s="2" t="s">
        <v>645</v>
      </c>
      <c r="B126" s="2" t="s">
        <v>646</v>
      </c>
      <c r="C126" s="2" t="s">
        <v>647</v>
      </c>
      <c r="D126" s="2" t="s">
        <v>638</v>
      </c>
      <c r="E126" s="2">
        <v>1</v>
      </c>
      <c r="F126" s="2">
        <v>0</v>
      </c>
      <c r="G126" s="2">
        <v>0</v>
      </c>
      <c r="H126" s="8" t="s">
        <v>67</v>
      </c>
      <c r="I126" s="2" t="s">
        <v>648</v>
      </c>
      <c r="J126" s="2" t="s">
        <v>649</v>
      </c>
      <c r="R126" s="9">
        <v>135</v>
      </c>
      <c r="S126" s="6">
        <f>R126</f>
        <v>135</v>
      </c>
    </row>
    <row r="127" spans="1:19" ht="15" customHeight="1" x14ac:dyDescent="0.3">
      <c r="A127" s="2" t="s">
        <v>650</v>
      </c>
      <c r="B127" s="2" t="s">
        <v>651</v>
      </c>
      <c r="C127" s="2" t="s">
        <v>652</v>
      </c>
      <c r="D127" s="2" t="s">
        <v>638</v>
      </c>
      <c r="E127" s="2">
        <v>1</v>
      </c>
      <c r="F127" s="2">
        <v>1</v>
      </c>
      <c r="G127" s="2">
        <v>0</v>
      </c>
      <c r="H127" s="2" t="s">
        <v>55</v>
      </c>
      <c r="I127" s="2" t="s">
        <v>653</v>
      </c>
      <c r="J127" s="2" t="s">
        <v>654</v>
      </c>
      <c r="K127" s="2" t="s">
        <v>640</v>
      </c>
      <c r="L127" s="4">
        <v>15</v>
      </c>
      <c r="M127" s="5">
        <v>7.5</v>
      </c>
      <c r="N127" s="6">
        <f>L127*M127</f>
        <v>112.5</v>
      </c>
      <c r="O127" s="2" t="s">
        <v>51</v>
      </c>
      <c r="P127" s="7">
        <v>0.26666699999999999</v>
      </c>
      <c r="S127" s="6">
        <f>IF(N127&lt;&gt;"",N127,"")</f>
        <v>112.5</v>
      </c>
    </row>
    <row r="128" spans="1:19" ht="15" customHeight="1" x14ac:dyDescent="0.3">
      <c r="A128" s="2" t="s">
        <v>655</v>
      </c>
      <c r="B128" s="2" t="s">
        <v>656</v>
      </c>
      <c r="C128" s="2" t="s">
        <v>657</v>
      </c>
      <c r="D128" s="2" t="s">
        <v>638</v>
      </c>
      <c r="E128" s="2">
        <v>1</v>
      </c>
      <c r="F128" s="2">
        <v>1</v>
      </c>
      <c r="G128" s="2">
        <v>0</v>
      </c>
      <c r="H128" s="2" t="s">
        <v>49</v>
      </c>
      <c r="I128" s="2" t="s">
        <v>656</v>
      </c>
      <c r="J128" s="2" t="s">
        <v>658</v>
      </c>
      <c r="K128" s="2" t="s">
        <v>640</v>
      </c>
      <c r="L128" s="4">
        <v>13</v>
      </c>
      <c r="M128" s="5">
        <v>3</v>
      </c>
      <c r="N128" s="6">
        <f>L128*M128</f>
        <v>39</v>
      </c>
      <c r="O128" s="2" t="s">
        <v>51</v>
      </c>
      <c r="P128" s="7">
        <v>0.13461500000000001</v>
      </c>
      <c r="S128" s="6">
        <f>IF(N128&lt;&gt;"",N128,"")</f>
        <v>39</v>
      </c>
    </row>
    <row r="129" spans="1:19" ht="15" customHeight="1" x14ac:dyDescent="0.3">
      <c r="A129" s="2" t="s">
        <v>659</v>
      </c>
      <c r="B129" s="2" t="s">
        <v>660</v>
      </c>
      <c r="C129" s="2" t="s">
        <v>661</v>
      </c>
      <c r="D129" s="2" t="s">
        <v>638</v>
      </c>
      <c r="E129" s="2">
        <v>1</v>
      </c>
      <c r="F129" s="2">
        <v>1</v>
      </c>
      <c r="G129" s="2">
        <v>1</v>
      </c>
      <c r="H129" s="2" t="s">
        <v>49</v>
      </c>
      <c r="I129" s="2" t="s">
        <v>660</v>
      </c>
      <c r="J129" s="2" t="s">
        <v>662</v>
      </c>
      <c r="K129" s="2" t="s">
        <v>640</v>
      </c>
      <c r="L129" s="4">
        <v>18</v>
      </c>
      <c r="M129" s="5">
        <v>4</v>
      </c>
      <c r="N129" s="6">
        <f>L129*M129</f>
        <v>72</v>
      </c>
      <c r="O129" s="2" t="s">
        <v>51</v>
      </c>
      <c r="P129" s="7">
        <v>0.91666700000000001</v>
      </c>
      <c r="S129" s="6">
        <f>IF(N129&lt;&gt;"",N129,"")</f>
        <v>72</v>
      </c>
    </row>
    <row r="130" spans="1:19" ht="15" customHeight="1" x14ac:dyDescent="0.3">
      <c r="A130" s="2" t="s">
        <v>663</v>
      </c>
      <c r="B130" s="2" t="s">
        <v>664</v>
      </c>
      <c r="C130" s="2" t="s">
        <v>665</v>
      </c>
      <c r="D130" s="2" t="s">
        <v>640</v>
      </c>
      <c r="E130" s="2">
        <v>3</v>
      </c>
      <c r="F130" s="2">
        <v>0</v>
      </c>
      <c r="G130" s="2">
        <v>0</v>
      </c>
      <c r="H130" s="2" t="s">
        <v>115</v>
      </c>
      <c r="I130" s="2" t="s">
        <v>666</v>
      </c>
      <c r="J130" s="2" t="s">
        <v>667</v>
      </c>
      <c r="S130" s="6" t="str">
        <f>IF(N130&lt;&gt;"",N130,"")</f>
        <v/>
      </c>
    </row>
    <row r="131" spans="1:19" ht="15" customHeight="1" x14ac:dyDescent="0.3">
      <c r="A131" s="2" t="s">
        <v>668</v>
      </c>
      <c r="B131" s="2" t="s">
        <v>669</v>
      </c>
      <c r="C131" s="2" t="s">
        <v>670</v>
      </c>
      <c r="D131" s="2" t="s">
        <v>640</v>
      </c>
      <c r="E131" s="2">
        <v>1</v>
      </c>
      <c r="F131" s="2">
        <v>1</v>
      </c>
      <c r="G131" s="2">
        <v>1</v>
      </c>
      <c r="H131" s="2" t="s">
        <v>49</v>
      </c>
      <c r="I131" s="2" t="s">
        <v>669</v>
      </c>
      <c r="J131" s="2" t="s">
        <v>671</v>
      </c>
      <c r="K131" s="2" t="s">
        <v>672</v>
      </c>
      <c r="L131" s="4">
        <v>12</v>
      </c>
      <c r="M131" s="5">
        <v>11</v>
      </c>
      <c r="N131" s="6">
        <f>L131*M131</f>
        <v>132</v>
      </c>
      <c r="O131" s="2" t="s">
        <v>51</v>
      </c>
      <c r="P131" s="7">
        <v>4.1666700000000001E-2</v>
      </c>
      <c r="S131" s="6">
        <f>IF(N131&lt;&gt;"",N131,"")</f>
        <v>132</v>
      </c>
    </row>
    <row r="132" spans="1:19" ht="15" customHeight="1" x14ac:dyDescent="0.3">
      <c r="A132" s="2" t="s">
        <v>673</v>
      </c>
      <c r="B132" s="2" t="s">
        <v>674</v>
      </c>
      <c r="C132" s="2" t="s">
        <v>675</v>
      </c>
      <c r="D132" s="2" t="s">
        <v>672</v>
      </c>
      <c r="E132" s="2">
        <v>1</v>
      </c>
      <c r="F132" s="2">
        <v>0</v>
      </c>
      <c r="G132" s="2">
        <v>0</v>
      </c>
      <c r="H132" s="8" t="s">
        <v>138</v>
      </c>
      <c r="R132" s="9">
        <v>135</v>
      </c>
      <c r="S132" s="6">
        <f>R132</f>
        <v>135</v>
      </c>
    </row>
    <row r="133" spans="1:19" ht="15" customHeight="1" x14ac:dyDescent="0.3">
      <c r="A133" s="2" t="s">
        <v>676</v>
      </c>
      <c r="B133" s="2" t="s">
        <v>677</v>
      </c>
      <c r="C133" s="2" t="s">
        <v>678</v>
      </c>
      <c r="D133" s="2" t="s">
        <v>679</v>
      </c>
      <c r="E133" s="2">
        <v>1</v>
      </c>
      <c r="F133" s="2">
        <v>0</v>
      </c>
      <c r="G133" s="2">
        <v>1</v>
      </c>
      <c r="H133" s="8" t="s">
        <v>67</v>
      </c>
      <c r="I133" s="2" t="s">
        <v>680</v>
      </c>
      <c r="J133" s="2" t="s">
        <v>681</v>
      </c>
      <c r="R133" s="9">
        <v>135</v>
      </c>
      <c r="S133" s="6">
        <f>R133</f>
        <v>135</v>
      </c>
    </row>
    <row r="134" spans="1:19" ht="15" customHeight="1" x14ac:dyDescent="0.3">
      <c r="A134" s="2" t="s">
        <v>682</v>
      </c>
      <c r="B134" s="2" t="s">
        <v>683</v>
      </c>
      <c r="C134" s="2" t="s">
        <v>684</v>
      </c>
      <c r="D134" s="2" t="s">
        <v>679</v>
      </c>
      <c r="E134" s="2">
        <v>1</v>
      </c>
      <c r="F134" s="2">
        <v>0</v>
      </c>
      <c r="G134" s="2">
        <v>1</v>
      </c>
      <c r="H134" s="2" t="s">
        <v>55</v>
      </c>
      <c r="I134" s="2" t="s">
        <v>685</v>
      </c>
      <c r="J134" s="2" t="s">
        <v>686</v>
      </c>
      <c r="K134" s="2" t="s">
        <v>679</v>
      </c>
      <c r="L134" s="4">
        <v>19</v>
      </c>
      <c r="M134" s="5">
        <v>4</v>
      </c>
      <c r="N134" s="6">
        <f>L134*M134</f>
        <v>76</v>
      </c>
      <c r="O134" s="2" t="s">
        <v>51</v>
      </c>
      <c r="P134" s="7">
        <v>1.31579E-2</v>
      </c>
      <c r="S134" s="6">
        <f>IF(N134&lt;&gt;"",N134,"")</f>
        <v>76</v>
      </c>
    </row>
    <row r="135" spans="1:19" ht="15" customHeight="1" x14ac:dyDescent="0.3">
      <c r="A135" s="2" t="s">
        <v>687</v>
      </c>
      <c r="B135" s="2" t="s">
        <v>688</v>
      </c>
      <c r="C135" s="2" t="s">
        <v>689</v>
      </c>
      <c r="D135" s="2" t="s">
        <v>679</v>
      </c>
      <c r="E135" s="2">
        <v>1</v>
      </c>
      <c r="F135" s="2">
        <v>0</v>
      </c>
      <c r="G135" s="2">
        <v>0</v>
      </c>
      <c r="H135" s="2" t="s">
        <v>49</v>
      </c>
      <c r="I135" s="2" t="s">
        <v>690</v>
      </c>
      <c r="J135" s="2" t="s">
        <v>691</v>
      </c>
      <c r="K135" s="2" t="s">
        <v>679</v>
      </c>
      <c r="L135" s="4">
        <v>17</v>
      </c>
      <c r="M135" s="5">
        <v>4.5</v>
      </c>
      <c r="N135" s="6">
        <f>L135*M135</f>
        <v>76.5</v>
      </c>
      <c r="O135" s="2" t="s">
        <v>51</v>
      </c>
      <c r="P135" s="7">
        <v>0.147059</v>
      </c>
      <c r="S135" s="6">
        <f>IF(N135&lt;&gt;"",N135,"")</f>
        <v>76.5</v>
      </c>
    </row>
    <row r="136" spans="1:19" ht="15" customHeight="1" x14ac:dyDescent="0.3">
      <c r="A136" s="2" t="s">
        <v>692</v>
      </c>
      <c r="B136" s="2" t="s">
        <v>693</v>
      </c>
      <c r="C136" s="2" t="s">
        <v>694</v>
      </c>
      <c r="D136" s="2" t="s">
        <v>679</v>
      </c>
      <c r="E136" s="2">
        <v>1</v>
      </c>
      <c r="F136" s="2">
        <v>0</v>
      </c>
      <c r="G136" s="2">
        <v>0</v>
      </c>
      <c r="H136" s="8" t="s">
        <v>67</v>
      </c>
      <c r="I136" s="2" t="s">
        <v>695</v>
      </c>
      <c r="J136" s="2" t="s">
        <v>696</v>
      </c>
      <c r="R136" s="9">
        <v>135</v>
      </c>
      <c r="S136" s="6">
        <f>R136</f>
        <v>135</v>
      </c>
    </row>
    <row r="137" spans="1:19" ht="15" customHeight="1" x14ac:dyDescent="0.3">
      <c r="A137" s="2" t="s">
        <v>697</v>
      </c>
      <c r="B137" s="2" t="s">
        <v>698</v>
      </c>
      <c r="C137" s="2" t="s">
        <v>699</v>
      </c>
      <c r="D137" s="2" t="s">
        <v>679</v>
      </c>
      <c r="E137" s="2">
        <v>1</v>
      </c>
      <c r="F137" s="2">
        <v>1</v>
      </c>
      <c r="G137" s="2">
        <v>1</v>
      </c>
      <c r="H137" s="2" t="s">
        <v>49</v>
      </c>
      <c r="I137" s="2" t="s">
        <v>698</v>
      </c>
      <c r="J137" s="2" t="s">
        <v>700</v>
      </c>
      <c r="K137" s="2" t="s">
        <v>701</v>
      </c>
      <c r="L137" s="4">
        <v>34</v>
      </c>
      <c r="M137" s="5">
        <v>5</v>
      </c>
      <c r="N137" s="6">
        <f>L137*M137</f>
        <v>170</v>
      </c>
      <c r="O137" s="2" t="s">
        <v>51</v>
      </c>
      <c r="P137" s="7">
        <v>0.91176500000000005</v>
      </c>
      <c r="S137" s="6">
        <f t="shared" ref="S137:S152" si="9">IF(N137&lt;&gt;"",N137,"")</f>
        <v>170</v>
      </c>
    </row>
    <row r="138" spans="1:19" ht="15" customHeight="1" x14ac:dyDescent="0.3">
      <c r="A138" s="2" t="s">
        <v>702</v>
      </c>
      <c r="B138" s="2" t="s">
        <v>703</v>
      </c>
      <c r="C138" s="2" t="s">
        <v>704</v>
      </c>
      <c r="D138" s="2" t="s">
        <v>679</v>
      </c>
      <c r="E138" s="2">
        <v>2</v>
      </c>
      <c r="F138" s="2">
        <v>0</v>
      </c>
      <c r="G138" s="2">
        <v>0</v>
      </c>
      <c r="H138" s="2" t="s">
        <v>5</v>
      </c>
      <c r="I138" s="2" t="s">
        <v>705</v>
      </c>
      <c r="J138" s="2" t="s">
        <v>706</v>
      </c>
      <c r="K138" s="2" t="s">
        <v>707</v>
      </c>
      <c r="N138" s="6">
        <v>2890</v>
      </c>
      <c r="O138" s="2" t="s">
        <v>521</v>
      </c>
      <c r="Q138" s="2" t="s">
        <v>708</v>
      </c>
      <c r="S138" s="6">
        <f t="shared" si="9"/>
        <v>2890</v>
      </c>
    </row>
    <row r="139" spans="1:19" ht="15" customHeight="1" x14ac:dyDescent="0.3">
      <c r="A139" s="2" t="s">
        <v>709</v>
      </c>
      <c r="B139" s="2" t="s">
        <v>710</v>
      </c>
      <c r="C139" s="2" t="s">
        <v>711</v>
      </c>
      <c r="D139" s="2" t="s">
        <v>712</v>
      </c>
      <c r="E139" s="2">
        <v>1</v>
      </c>
      <c r="F139" s="2">
        <v>0</v>
      </c>
      <c r="G139" s="2">
        <v>0</v>
      </c>
      <c r="H139" s="2" t="s">
        <v>49</v>
      </c>
      <c r="I139" s="2" t="s">
        <v>710</v>
      </c>
      <c r="J139" s="2" t="s">
        <v>713</v>
      </c>
      <c r="K139" s="2" t="s">
        <v>712</v>
      </c>
      <c r="L139" s="4">
        <v>20</v>
      </c>
      <c r="M139" s="5">
        <v>4</v>
      </c>
      <c r="N139" s="6">
        <f t="shared" ref="N139:N152" si="10">L139*M139</f>
        <v>80</v>
      </c>
      <c r="O139" s="2" t="s">
        <v>51</v>
      </c>
      <c r="P139" s="7">
        <v>0.17499999999999999</v>
      </c>
      <c r="S139" s="6">
        <f t="shared" si="9"/>
        <v>80</v>
      </c>
    </row>
    <row r="140" spans="1:19" ht="15" customHeight="1" x14ac:dyDescent="0.3">
      <c r="A140" s="2" t="s">
        <v>714</v>
      </c>
      <c r="B140" s="2" t="s">
        <v>715</v>
      </c>
      <c r="C140" s="2" t="s">
        <v>716</v>
      </c>
      <c r="D140" s="2" t="s">
        <v>712</v>
      </c>
      <c r="E140" s="2">
        <v>1</v>
      </c>
      <c r="F140" s="2">
        <v>0</v>
      </c>
      <c r="G140" s="2">
        <v>0</v>
      </c>
      <c r="H140" s="2" t="s">
        <v>49</v>
      </c>
      <c r="I140" s="2" t="s">
        <v>717</v>
      </c>
      <c r="J140" s="2" t="s">
        <v>718</v>
      </c>
      <c r="K140" s="2" t="s">
        <v>712</v>
      </c>
      <c r="L140" s="4">
        <v>21</v>
      </c>
      <c r="M140" s="5">
        <v>3</v>
      </c>
      <c r="N140" s="6">
        <f t="shared" si="10"/>
        <v>63</v>
      </c>
      <c r="O140" s="2" t="s">
        <v>51</v>
      </c>
      <c r="P140" s="7">
        <v>0.52380899999999997</v>
      </c>
      <c r="S140" s="6">
        <f t="shared" si="9"/>
        <v>63</v>
      </c>
    </row>
    <row r="141" spans="1:19" ht="15" customHeight="1" x14ac:dyDescent="0.3">
      <c r="A141" s="2" t="s">
        <v>719</v>
      </c>
      <c r="B141" s="2" t="s">
        <v>720</v>
      </c>
      <c r="C141" s="2" t="s">
        <v>721</v>
      </c>
      <c r="D141" s="2" t="s">
        <v>712</v>
      </c>
      <c r="E141" s="2">
        <v>1</v>
      </c>
      <c r="F141" s="2">
        <v>1</v>
      </c>
      <c r="G141" s="2">
        <v>0</v>
      </c>
      <c r="H141" s="2" t="s">
        <v>49</v>
      </c>
      <c r="I141" s="2" t="s">
        <v>722</v>
      </c>
      <c r="J141" s="2" t="s">
        <v>723</v>
      </c>
      <c r="K141" s="2" t="s">
        <v>712</v>
      </c>
      <c r="L141" s="4">
        <v>14</v>
      </c>
      <c r="M141" s="5">
        <v>4</v>
      </c>
      <c r="N141" s="6">
        <f t="shared" si="10"/>
        <v>56</v>
      </c>
      <c r="O141" s="2" t="s">
        <v>51</v>
      </c>
      <c r="P141" s="7">
        <v>0.36607099999999998</v>
      </c>
      <c r="S141" s="6">
        <f t="shared" si="9"/>
        <v>56</v>
      </c>
    </row>
    <row r="142" spans="1:19" ht="15" customHeight="1" x14ac:dyDescent="0.3">
      <c r="A142" s="2" t="s">
        <v>724</v>
      </c>
      <c r="B142" s="2" t="s">
        <v>725</v>
      </c>
      <c r="C142" s="2" t="s">
        <v>726</v>
      </c>
      <c r="D142" s="2" t="s">
        <v>712</v>
      </c>
      <c r="E142" s="2">
        <v>1</v>
      </c>
      <c r="F142" s="2">
        <v>0</v>
      </c>
      <c r="G142" s="2">
        <v>0</v>
      </c>
      <c r="H142" s="2" t="s">
        <v>49</v>
      </c>
      <c r="I142" s="2" t="s">
        <v>725</v>
      </c>
      <c r="J142" s="2" t="s">
        <v>727</v>
      </c>
      <c r="K142" s="2" t="s">
        <v>728</v>
      </c>
      <c r="L142" s="4">
        <v>13</v>
      </c>
      <c r="M142" s="5">
        <v>4.25</v>
      </c>
      <c r="N142" s="6">
        <f t="shared" si="10"/>
        <v>55.25</v>
      </c>
      <c r="O142" s="2" t="s">
        <v>51</v>
      </c>
      <c r="P142" s="7">
        <v>0.115385</v>
      </c>
      <c r="S142" s="6">
        <f t="shared" si="9"/>
        <v>55.25</v>
      </c>
    </row>
    <row r="143" spans="1:19" ht="15" customHeight="1" x14ac:dyDescent="0.3">
      <c r="A143" s="2" t="s">
        <v>729</v>
      </c>
      <c r="B143" s="2" t="s">
        <v>730</v>
      </c>
      <c r="C143" s="2" t="s">
        <v>731</v>
      </c>
      <c r="D143" s="2" t="s">
        <v>712</v>
      </c>
      <c r="E143" s="2">
        <v>1</v>
      </c>
      <c r="F143" s="2">
        <v>0</v>
      </c>
      <c r="G143" s="2">
        <v>0</v>
      </c>
      <c r="H143" s="2" t="s">
        <v>49</v>
      </c>
      <c r="I143" s="2" t="s">
        <v>730</v>
      </c>
      <c r="J143" s="2" t="s">
        <v>732</v>
      </c>
      <c r="K143" s="2" t="s">
        <v>728</v>
      </c>
      <c r="L143" s="4">
        <v>13.5</v>
      </c>
      <c r="M143" s="5">
        <v>6.75</v>
      </c>
      <c r="N143" s="6">
        <f t="shared" si="10"/>
        <v>91.125</v>
      </c>
      <c r="O143" s="2" t="s">
        <v>51</v>
      </c>
      <c r="P143" s="7">
        <v>0.18518499999999999</v>
      </c>
      <c r="S143" s="6">
        <f t="shared" si="9"/>
        <v>91.125</v>
      </c>
    </row>
    <row r="144" spans="1:19" ht="15" customHeight="1" x14ac:dyDescent="0.3">
      <c r="A144" s="2" t="s">
        <v>733</v>
      </c>
      <c r="B144" s="2" t="s">
        <v>734</v>
      </c>
      <c r="C144" s="2" t="s">
        <v>735</v>
      </c>
      <c r="D144" s="2" t="s">
        <v>728</v>
      </c>
      <c r="E144" s="2">
        <v>1</v>
      </c>
      <c r="F144" s="2">
        <v>0</v>
      </c>
      <c r="G144" s="2">
        <v>0</v>
      </c>
      <c r="H144" s="2" t="s">
        <v>49</v>
      </c>
      <c r="I144" s="2" t="s">
        <v>734</v>
      </c>
      <c r="J144" s="2" t="s">
        <v>736</v>
      </c>
      <c r="K144" s="2" t="s">
        <v>712</v>
      </c>
      <c r="L144" s="4">
        <v>14.25</v>
      </c>
      <c r="M144" s="5">
        <v>202</v>
      </c>
      <c r="N144" s="6">
        <f t="shared" si="10"/>
        <v>2878.5</v>
      </c>
      <c r="O144" s="2" t="s">
        <v>51</v>
      </c>
      <c r="P144" s="7">
        <v>1.7543900000000001E-2</v>
      </c>
      <c r="S144" s="6">
        <f t="shared" si="9"/>
        <v>2878.5</v>
      </c>
    </row>
    <row r="145" spans="1:19" ht="15" customHeight="1" x14ac:dyDescent="0.3">
      <c r="A145" s="2" t="s">
        <v>737</v>
      </c>
      <c r="B145" s="2" t="s">
        <v>738</v>
      </c>
      <c r="C145" s="2" t="s">
        <v>739</v>
      </c>
      <c r="D145" s="2" t="s">
        <v>707</v>
      </c>
      <c r="E145" s="2">
        <v>1</v>
      </c>
      <c r="F145" s="2">
        <v>1</v>
      </c>
      <c r="G145" s="2">
        <v>1</v>
      </c>
      <c r="H145" s="2" t="s">
        <v>49</v>
      </c>
      <c r="I145" s="2" t="s">
        <v>740</v>
      </c>
      <c r="J145" s="2" t="s">
        <v>741</v>
      </c>
      <c r="K145" s="2" t="s">
        <v>742</v>
      </c>
      <c r="L145" s="4">
        <v>15</v>
      </c>
      <c r="M145" s="5">
        <v>4</v>
      </c>
      <c r="N145" s="6">
        <f t="shared" si="10"/>
        <v>60</v>
      </c>
      <c r="O145" s="2" t="s">
        <v>51</v>
      </c>
      <c r="P145" s="7">
        <v>1.2</v>
      </c>
      <c r="S145" s="6">
        <f t="shared" si="9"/>
        <v>60</v>
      </c>
    </row>
    <row r="146" spans="1:19" ht="15" customHeight="1" x14ac:dyDescent="0.3">
      <c r="A146" s="2" t="s">
        <v>743</v>
      </c>
      <c r="B146" s="2" t="s">
        <v>744</v>
      </c>
      <c r="C146" s="2" t="s">
        <v>745</v>
      </c>
      <c r="D146" s="2" t="s">
        <v>707</v>
      </c>
      <c r="E146" s="2">
        <v>1</v>
      </c>
      <c r="F146" s="2">
        <v>1</v>
      </c>
      <c r="G146" s="2">
        <v>0</v>
      </c>
      <c r="H146" s="2" t="s">
        <v>49</v>
      </c>
      <c r="I146" s="2" t="s">
        <v>744</v>
      </c>
      <c r="J146" s="2" t="s">
        <v>746</v>
      </c>
      <c r="K146" s="2" t="s">
        <v>742</v>
      </c>
      <c r="L146" s="4">
        <v>28.5</v>
      </c>
      <c r="M146" s="5">
        <v>7.5</v>
      </c>
      <c r="N146" s="6">
        <f t="shared" si="10"/>
        <v>213.75</v>
      </c>
      <c r="O146" s="2" t="s">
        <v>51</v>
      </c>
      <c r="P146" s="7">
        <v>0</v>
      </c>
      <c r="S146" s="6">
        <f t="shared" si="9"/>
        <v>213.75</v>
      </c>
    </row>
    <row r="147" spans="1:19" ht="15" customHeight="1" x14ac:dyDescent="0.3">
      <c r="A147" s="2" t="s">
        <v>747</v>
      </c>
      <c r="B147" s="2" t="s">
        <v>748</v>
      </c>
      <c r="C147" s="2" t="s">
        <v>749</v>
      </c>
      <c r="D147" s="2" t="s">
        <v>707</v>
      </c>
      <c r="E147" s="2">
        <v>1</v>
      </c>
      <c r="F147" s="2">
        <v>1</v>
      </c>
      <c r="G147" s="2">
        <v>0</v>
      </c>
      <c r="H147" s="2" t="s">
        <v>55</v>
      </c>
      <c r="I147" s="2" t="s">
        <v>750</v>
      </c>
      <c r="J147" s="2" t="s">
        <v>751</v>
      </c>
      <c r="K147" s="2" t="s">
        <v>707</v>
      </c>
      <c r="L147" s="4">
        <v>15</v>
      </c>
      <c r="M147" s="5">
        <v>3.5</v>
      </c>
      <c r="N147" s="6">
        <f t="shared" si="10"/>
        <v>52.5</v>
      </c>
      <c r="O147" s="2" t="s">
        <v>51</v>
      </c>
      <c r="P147" s="7">
        <v>2.08333E-3</v>
      </c>
      <c r="S147" s="6">
        <f t="shared" si="9"/>
        <v>52.5</v>
      </c>
    </row>
    <row r="148" spans="1:19" ht="15" customHeight="1" x14ac:dyDescent="0.3">
      <c r="A148" s="2" t="s">
        <v>752</v>
      </c>
      <c r="B148" s="2" t="s">
        <v>753</v>
      </c>
      <c r="C148" s="2" t="s">
        <v>754</v>
      </c>
      <c r="D148" s="2" t="s">
        <v>707</v>
      </c>
      <c r="E148" s="2">
        <v>1</v>
      </c>
      <c r="F148" s="2">
        <v>1</v>
      </c>
      <c r="G148" s="2">
        <v>0</v>
      </c>
      <c r="H148" s="2" t="s">
        <v>49</v>
      </c>
      <c r="I148" s="2" t="s">
        <v>753</v>
      </c>
      <c r="J148" s="2" t="s">
        <v>755</v>
      </c>
      <c r="K148" s="2" t="s">
        <v>707</v>
      </c>
      <c r="L148" s="4">
        <v>16</v>
      </c>
      <c r="M148" s="5">
        <v>5.0999999999999996</v>
      </c>
      <c r="N148" s="6">
        <f t="shared" si="10"/>
        <v>81.599999999999994</v>
      </c>
      <c r="O148" s="2" t="s">
        <v>51</v>
      </c>
      <c r="P148" s="7">
        <v>0.5625</v>
      </c>
      <c r="S148" s="6">
        <f t="shared" si="9"/>
        <v>81.599999999999994</v>
      </c>
    </row>
    <row r="149" spans="1:19" ht="15" customHeight="1" x14ac:dyDescent="0.3">
      <c r="A149" s="2" t="s">
        <v>756</v>
      </c>
      <c r="B149" s="2" t="s">
        <v>757</v>
      </c>
      <c r="C149" s="2" t="s">
        <v>758</v>
      </c>
      <c r="D149" s="2" t="s">
        <v>707</v>
      </c>
      <c r="E149" s="2">
        <v>1</v>
      </c>
      <c r="F149" s="2">
        <v>1</v>
      </c>
      <c r="G149" s="2">
        <v>1</v>
      </c>
      <c r="H149" s="2" t="s">
        <v>55</v>
      </c>
      <c r="I149" s="2" t="s">
        <v>759</v>
      </c>
      <c r="J149" s="2" t="s">
        <v>760</v>
      </c>
      <c r="K149" s="2" t="s">
        <v>742</v>
      </c>
      <c r="L149" s="4">
        <v>16</v>
      </c>
      <c r="M149" s="5">
        <v>10</v>
      </c>
      <c r="N149" s="6">
        <f t="shared" si="10"/>
        <v>160</v>
      </c>
      <c r="O149" s="2" t="s">
        <v>51</v>
      </c>
      <c r="P149" s="7">
        <v>0</v>
      </c>
      <c r="S149" s="6">
        <f t="shared" si="9"/>
        <v>160</v>
      </c>
    </row>
    <row r="150" spans="1:19" ht="15" customHeight="1" x14ac:dyDescent="0.3">
      <c r="A150" s="2" t="s">
        <v>761</v>
      </c>
      <c r="B150" s="2" t="s">
        <v>762</v>
      </c>
      <c r="C150" s="2" t="s">
        <v>763</v>
      </c>
      <c r="D150" s="2" t="s">
        <v>707</v>
      </c>
      <c r="E150" s="2">
        <v>1</v>
      </c>
      <c r="F150" s="2">
        <v>1</v>
      </c>
      <c r="G150" s="2">
        <v>1</v>
      </c>
      <c r="H150" s="2" t="s">
        <v>49</v>
      </c>
      <c r="I150" s="2" t="s">
        <v>762</v>
      </c>
      <c r="J150" s="2" t="s">
        <v>764</v>
      </c>
      <c r="K150" s="2" t="s">
        <v>742</v>
      </c>
      <c r="L150" s="4">
        <v>8</v>
      </c>
      <c r="M150" s="5">
        <v>4</v>
      </c>
      <c r="N150" s="6">
        <f t="shared" si="10"/>
        <v>32</v>
      </c>
      <c r="O150" s="2" t="s">
        <v>51</v>
      </c>
      <c r="P150" s="7">
        <v>9.375E-2</v>
      </c>
      <c r="S150" s="6">
        <f t="shared" si="9"/>
        <v>32</v>
      </c>
    </row>
    <row r="151" spans="1:19" ht="15" customHeight="1" x14ac:dyDescent="0.3">
      <c r="A151" s="2" t="s">
        <v>765</v>
      </c>
      <c r="B151" s="2" t="s">
        <v>766</v>
      </c>
      <c r="C151" s="2" t="s">
        <v>767</v>
      </c>
      <c r="D151" s="2" t="s">
        <v>742</v>
      </c>
      <c r="E151" s="2">
        <v>1</v>
      </c>
      <c r="F151" s="2">
        <v>1</v>
      </c>
      <c r="G151" s="2">
        <v>0</v>
      </c>
      <c r="H151" s="2" t="s">
        <v>49</v>
      </c>
      <c r="I151" s="2" t="s">
        <v>768</v>
      </c>
      <c r="J151" s="2" t="s">
        <v>769</v>
      </c>
      <c r="K151" s="2" t="s">
        <v>742</v>
      </c>
      <c r="L151" s="4">
        <v>22</v>
      </c>
      <c r="M151" s="5">
        <v>10</v>
      </c>
      <c r="N151" s="6">
        <f t="shared" si="10"/>
        <v>220</v>
      </c>
      <c r="O151" s="2" t="s">
        <v>51</v>
      </c>
      <c r="P151" s="7">
        <v>0</v>
      </c>
      <c r="S151" s="6">
        <f t="shared" si="9"/>
        <v>220</v>
      </c>
    </row>
    <row r="152" spans="1:19" ht="15" customHeight="1" x14ac:dyDescent="0.3">
      <c r="A152" s="2" t="s">
        <v>770</v>
      </c>
      <c r="B152" s="2" t="s">
        <v>771</v>
      </c>
      <c r="C152" s="2" t="s">
        <v>772</v>
      </c>
      <c r="D152" s="2" t="s">
        <v>742</v>
      </c>
      <c r="E152" s="2">
        <v>1</v>
      </c>
      <c r="F152" s="2">
        <v>1</v>
      </c>
      <c r="G152" s="2">
        <v>0</v>
      </c>
      <c r="H152" s="2" t="s">
        <v>49</v>
      </c>
      <c r="I152" s="2" t="s">
        <v>773</v>
      </c>
      <c r="J152" s="2" t="s">
        <v>774</v>
      </c>
      <c r="K152" s="2" t="s">
        <v>742</v>
      </c>
      <c r="L152" s="4">
        <v>14</v>
      </c>
      <c r="M152" s="5">
        <v>5.5339999999999998</v>
      </c>
      <c r="N152" s="6">
        <f t="shared" si="10"/>
        <v>77.475999999999999</v>
      </c>
      <c r="O152" s="2" t="s">
        <v>51</v>
      </c>
      <c r="P152" s="7">
        <v>0.64285700000000001</v>
      </c>
      <c r="S152" s="6">
        <f t="shared" si="9"/>
        <v>77.475999999999999</v>
      </c>
    </row>
    <row r="153" spans="1:19" ht="15" customHeight="1" x14ac:dyDescent="0.3">
      <c r="A153" s="2" t="s">
        <v>775</v>
      </c>
      <c r="B153" s="2" t="s">
        <v>776</v>
      </c>
      <c r="C153" s="2" t="s">
        <v>777</v>
      </c>
      <c r="D153" s="2" t="s">
        <v>742</v>
      </c>
      <c r="E153" s="2">
        <v>1</v>
      </c>
      <c r="F153" s="2">
        <v>1</v>
      </c>
      <c r="G153" s="2">
        <v>1</v>
      </c>
      <c r="H153" s="8" t="s">
        <v>138</v>
      </c>
      <c r="R153" s="9">
        <v>135</v>
      </c>
      <c r="S153" s="6">
        <f>R153</f>
        <v>135</v>
      </c>
    </row>
    <row r="154" spans="1:19" ht="15" customHeight="1" x14ac:dyDescent="0.3">
      <c r="A154" s="2" t="s">
        <v>778</v>
      </c>
      <c r="B154" s="2" t="s">
        <v>779</v>
      </c>
      <c r="C154" s="2" t="s">
        <v>780</v>
      </c>
      <c r="D154" s="2" t="s">
        <v>781</v>
      </c>
      <c r="E154" s="2">
        <v>1</v>
      </c>
      <c r="F154" s="2">
        <v>1</v>
      </c>
      <c r="G154" s="2">
        <v>0</v>
      </c>
      <c r="H154" s="8" t="s">
        <v>67</v>
      </c>
      <c r="I154" s="2" t="s">
        <v>782</v>
      </c>
      <c r="J154" s="2" t="s">
        <v>783</v>
      </c>
      <c r="K154" s="2" t="s">
        <v>784</v>
      </c>
      <c r="R154" s="9">
        <v>135</v>
      </c>
      <c r="S154" s="6">
        <f>R154</f>
        <v>135</v>
      </c>
    </row>
    <row r="155" spans="1:19" ht="15" customHeight="1" x14ac:dyDescent="0.3">
      <c r="A155" s="2" t="s">
        <v>785</v>
      </c>
      <c r="B155" s="2" t="s">
        <v>786</v>
      </c>
      <c r="C155" s="2" t="s">
        <v>787</v>
      </c>
      <c r="D155" s="2" t="s">
        <v>781</v>
      </c>
      <c r="E155" s="2">
        <v>1</v>
      </c>
      <c r="F155" s="2">
        <v>1</v>
      </c>
      <c r="G155" s="2">
        <v>0</v>
      </c>
      <c r="H155" s="2" t="s">
        <v>49</v>
      </c>
      <c r="I155" s="2" t="s">
        <v>786</v>
      </c>
      <c r="J155" s="2" t="s">
        <v>788</v>
      </c>
      <c r="K155" s="2" t="s">
        <v>784</v>
      </c>
      <c r="L155" s="4">
        <v>13</v>
      </c>
      <c r="M155" s="5">
        <v>9.1</v>
      </c>
      <c r="N155" s="6">
        <f>L155*M155</f>
        <v>118.3</v>
      </c>
      <c r="O155" s="2" t="s">
        <v>51</v>
      </c>
      <c r="S155" s="6">
        <f>IF(N155&lt;&gt;"",N155,"")</f>
        <v>118.3</v>
      </c>
    </row>
    <row r="156" spans="1:19" ht="15" customHeight="1" x14ac:dyDescent="0.3">
      <c r="A156" s="2" t="s">
        <v>789</v>
      </c>
      <c r="B156" s="2" t="s">
        <v>790</v>
      </c>
      <c r="C156" s="2" t="s">
        <v>791</v>
      </c>
      <c r="D156" s="2" t="s">
        <v>784</v>
      </c>
      <c r="E156" s="2">
        <v>2</v>
      </c>
      <c r="F156" s="2">
        <v>1</v>
      </c>
      <c r="G156" s="2">
        <v>0</v>
      </c>
      <c r="H156" s="2" t="s">
        <v>115</v>
      </c>
      <c r="I156" s="2" t="s">
        <v>792</v>
      </c>
      <c r="J156" s="2" t="s">
        <v>793</v>
      </c>
      <c r="S156" s="6" t="str">
        <f>IF(N156&lt;&gt;"",N156,"")</f>
        <v/>
      </c>
    </row>
    <row r="157" spans="1:19" ht="15" customHeight="1" x14ac:dyDescent="0.3">
      <c r="A157" s="2" t="s">
        <v>794</v>
      </c>
      <c r="B157" s="2" t="s">
        <v>795</v>
      </c>
      <c r="C157" s="2" t="s">
        <v>796</v>
      </c>
      <c r="D157" s="2" t="s">
        <v>784</v>
      </c>
      <c r="E157" s="2">
        <v>1</v>
      </c>
      <c r="F157" s="2">
        <v>0</v>
      </c>
      <c r="G157" s="2">
        <v>0</v>
      </c>
      <c r="H157" s="2" t="s">
        <v>49</v>
      </c>
      <c r="I157" s="2" t="s">
        <v>797</v>
      </c>
      <c r="J157" s="2" t="s">
        <v>798</v>
      </c>
      <c r="K157" s="2" t="s">
        <v>784</v>
      </c>
      <c r="L157" s="4">
        <v>14</v>
      </c>
      <c r="M157" s="5">
        <v>12</v>
      </c>
      <c r="N157" s="6">
        <f>L157*M157</f>
        <v>168</v>
      </c>
      <c r="O157" s="2" t="s">
        <v>51</v>
      </c>
      <c r="P157" s="7">
        <v>-8.9285700000000003E-3</v>
      </c>
      <c r="S157" s="6">
        <f>IF(N157&lt;&gt;"",N157,"")</f>
        <v>168</v>
      </c>
    </row>
    <row r="158" spans="1:19" ht="15" customHeight="1" x14ac:dyDescent="0.3">
      <c r="A158" s="2" t="s">
        <v>799</v>
      </c>
      <c r="B158" s="2" t="s">
        <v>800</v>
      </c>
      <c r="C158" s="2" t="s">
        <v>801</v>
      </c>
      <c r="D158" s="2" t="s">
        <v>784</v>
      </c>
      <c r="E158" s="2">
        <v>1</v>
      </c>
      <c r="F158" s="2">
        <v>1</v>
      </c>
      <c r="G158" s="2">
        <v>1</v>
      </c>
      <c r="H158" s="8" t="s">
        <v>67</v>
      </c>
      <c r="I158" s="2" t="s">
        <v>802</v>
      </c>
      <c r="J158" s="2" t="s">
        <v>803</v>
      </c>
      <c r="R158" s="9">
        <v>135</v>
      </c>
      <c r="S158" s="6">
        <f>R158</f>
        <v>135</v>
      </c>
    </row>
    <row r="159" spans="1:19" ht="15" customHeight="1" x14ac:dyDescent="0.3">
      <c r="A159" s="2" t="s">
        <v>804</v>
      </c>
      <c r="B159" s="2" t="s">
        <v>805</v>
      </c>
      <c r="C159" s="2" t="s">
        <v>806</v>
      </c>
      <c r="D159" s="2" t="s">
        <v>784</v>
      </c>
      <c r="E159" s="2">
        <v>1</v>
      </c>
      <c r="F159" s="2">
        <v>1</v>
      </c>
      <c r="G159" s="2">
        <v>1</v>
      </c>
      <c r="H159" s="2" t="s">
        <v>49</v>
      </c>
      <c r="I159" s="2" t="s">
        <v>805</v>
      </c>
      <c r="J159" s="2" t="s">
        <v>807</v>
      </c>
      <c r="K159" s="2" t="s">
        <v>781</v>
      </c>
      <c r="L159" s="4">
        <v>9</v>
      </c>
      <c r="M159" s="5">
        <v>5</v>
      </c>
      <c r="N159" s="6">
        <f>L159*M159</f>
        <v>45</v>
      </c>
      <c r="O159" s="2" t="s">
        <v>51</v>
      </c>
      <c r="P159" s="7">
        <v>3.4722199999999998E-3</v>
      </c>
      <c r="S159" s="6">
        <f>IF(N159&lt;&gt;"",N159,"")</f>
        <v>45</v>
      </c>
    </row>
    <row r="160" spans="1:19" ht="15" customHeight="1" x14ac:dyDescent="0.3">
      <c r="A160" s="2" t="s">
        <v>808</v>
      </c>
      <c r="B160" s="2" t="s">
        <v>809</v>
      </c>
      <c r="C160" s="2" t="s">
        <v>810</v>
      </c>
      <c r="D160" s="2" t="s">
        <v>811</v>
      </c>
      <c r="E160" s="2">
        <v>1</v>
      </c>
      <c r="F160" s="2">
        <v>1</v>
      </c>
      <c r="G160" s="2">
        <v>0</v>
      </c>
      <c r="H160" s="2" t="s">
        <v>49</v>
      </c>
      <c r="I160" s="2" t="s">
        <v>812</v>
      </c>
      <c r="J160" s="2" t="s">
        <v>813</v>
      </c>
      <c r="K160" s="2" t="s">
        <v>814</v>
      </c>
      <c r="L160" s="4">
        <v>17</v>
      </c>
      <c r="M160" s="5">
        <v>4.5</v>
      </c>
      <c r="N160" s="6">
        <f>L160*M160</f>
        <v>76.5</v>
      </c>
      <c r="O160" s="2" t="s">
        <v>51</v>
      </c>
      <c r="P160" s="7">
        <v>0.74264699999999995</v>
      </c>
      <c r="S160" s="6">
        <f>IF(N160&lt;&gt;"",N160,"")</f>
        <v>76.5</v>
      </c>
    </row>
    <row r="161" spans="1:19" ht="15" customHeight="1" x14ac:dyDescent="0.3">
      <c r="A161" s="2" t="s">
        <v>815</v>
      </c>
      <c r="B161" s="2" t="s">
        <v>816</v>
      </c>
      <c r="C161" s="2" t="s">
        <v>817</v>
      </c>
      <c r="D161" s="2" t="s">
        <v>811</v>
      </c>
      <c r="E161" s="2">
        <v>1</v>
      </c>
      <c r="F161" s="2">
        <v>1</v>
      </c>
      <c r="G161" s="2">
        <v>1</v>
      </c>
      <c r="H161" s="2" t="s">
        <v>49</v>
      </c>
      <c r="I161" s="2" t="s">
        <v>818</v>
      </c>
      <c r="J161" s="2" t="s">
        <v>819</v>
      </c>
      <c r="K161" s="2" t="s">
        <v>811</v>
      </c>
      <c r="L161" s="4">
        <v>8</v>
      </c>
      <c r="M161" s="5">
        <v>4</v>
      </c>
      <c r="N161" s="6">
        <f>L161*M161</f>
        <v>32</v>
      </c>
      <c r="O161" s="2" t="s">
        <v>51</v>
      </c>
      <c r="P161" s="7">
        <v>-6.25E-2</v>
      </c>
      <c r="S161" s="6">
        <f>IF(N161&lt;&gt;"",N161,"")</f>
        <v>32</v>
      </c>
    </row>
    <row r="162" spans="1:19" ht="15" customHeight="1" x14ac:dyDescent="0.3">
      <c r="A162" s="2" t="s">
        <v>820</v>
      </c>
      <c r="B162" s="2" t="s">
        <v>821</v>
      </c>
      <c r="C162" s="2" t="s">
        <v>822</v>
      </c>
      <c r="D162" s="2" t="s">
        <v>811</v>
      </c>
      <c r="E162" s="2">
        <v>1</v>
      </c>
      <c r="F162" s="2">
        <v>1</v>
      </c>
      <c r="G162" s="2">
        <v>1</v>
      </c>
      <c r="H162" s="8" t="s">
        <v>67</v>
      </c>
      <c r="I162" s="2" t="s">
        <v>823</v>
      </c>
      <c r="J162" s="2" t="s">
        <v>824</v>
      </c>
      <c r="K162" s="2" t="s">
        <v>814</v>
      </c>
      <c r="R162" s="9">
        <v>135</v>
      </c>
      <c r="S162" s="6">
        <f>R162</f>
        <v>135</v>
      </c>
    </row>
    <row r="163" spans="1:19" ht="15" customHeight="1" x14ac:dyDescent="0.3">
      <c r="A163" s="2" t="s">
        <v>825</v>
      </c>
      <c r="B163" s="2" t="s">
        <v>826</v>
      </c>
      <c r="C163" s="2" t="s">
        <v>827</v>
      </c>
      <c r="D163" s="2" t="s">
        <v>814</v>
      </c>
      <c r="E163" s="2">
        <v>2</v>
      </c>
      <c r="F163" s="2">
        <v>0</v>
      </c>
      <c r="G163" s="2">
        <v>0</v>
      </c>
      <c r="H163" s="2" t="s">
        <v>115</v>
      </c>
      <c r="I163" s="2" t="s">
        <v>828</v>
      </c>
      <c r="J163" s="2" t="s">
        <v>829</v>
      </c>
      <c r="S163" s="6" t="str">
        <f>IF(N163&lt;&gt;"",N163,"")</f>
        <v/>
      </c>
    </row>
    <row r="164" spans="1:19" ht="15" customHeight="1" x14ac:dyDescent="0.3">
      <c r="A164" s="2" t="s">
        <v>830</v>
      </c>
      <c r="B164" s="2" t="s">
        <v>831</v>
      </c>
      <c r="C164" s="2" t="s">
        <v>832</v>
      </c>
      <c r="D164" s="2" t="s">
        <v>833</v>
      </c>
      <c r="E164" s="2">
        <v>2</v>
      </c>
      <c r="F164" s="2">
        <v>1</v>
      </c>
      <c r="G164" s="2">
        <v>1</v>
      </c>
      <c r="H164" s="2" t="s">
        <v>115</v>
      </c>
      <c r="I164" s="2" t="s">
        <v>834</v>
      </c>
      <c r="J164" s="2" t="s">
        <v>835</v>
      </c>
      <c r="K164" s="2" t="s">
        <v>836</v>
      </c>
      <c r="S164" s="6" t="str">
        <f>IF(N164&lt;&gt;"",N164,"")</f>
        <v/>
      </c>
    </row>
    <row r="165" spans="1:19" ht="15" customHeight="1" x14ac:dyDescent="0.3">
      <c r="A165" s="2" t="s">
        <v>837</v>
      </c>
      <c r="B165" s="2" t="s">
        <v>838</v>
      </c>
      <c r="C165" s="2" t="s">
        <v>839</v>
      </c>
      <c r="D165" s="2" t="s">
        <v>836</v>
      </c>
      <c r="E165" s="2">
        <v>1</v>
      </c>
      <c r="F165" s="2">
        <v>0</v>
      </c>
      <c r="G165" s="2">
        <v>0</v>
      </c>
      <c r="H165" s="8" t="s">
        <v>67</v>
      </c>
      <c r="I165" s="2" t="s">
        <v>840</v>
      </c>
      <c r="J165" s="2" t="s">
        <v>841</v>
      </c>
      <c r="R165" s="9">
        <v>135</v>
      </c>
      <c r="S165" s="6">
        <f>R165</f>
        <v>135</v>
      </c>
    </row>
    <row r="166" spans="1:19" ht="15" customHeight="1" x14ac:dyDescent="0.3">
      <c r="A166" s="2" t="s">
        <v>842</v>
      </c>
      <c r="B166" s="2" t="s">
        <v>843</v>
      </c>
      <c r="C166" s="2" t="s">
        <v>844</v>
      </c>
      <c r="D166" s="2" t="s">
        <v>836</v>
      </c>
      <c r="E166" s="2">
        <v>1</v>
      </c>
      <c r="F166" s="2">
        <v>0</v>
      </c>
      <c r="G166" s="2">
        <v>0</v>
      </c>
      <c r="H166" s="2" t="s">
        <v>49</v>
      </c>
      <c r="I166" s="2" t="s">
        <v>845</v>
      </c>
      <c r="J166" s="2" t="s">
        <v>846</v>
      </c>
      <c r="K166" s="2" t="s">
        <v>847</v>
      </c>
      <c r="L166" s="4">
        <v>10</v>
      </c>
      <c r="M166" s="5">
        <v>4.2</v>
      </c>
      <c r="N166" s="6">
        <f t="shared" ref="N166:N174" si="11">L166*M166</f>
        <v>42</v>
      </c>
      <c r="O166" s="2" t="s">
        <v>51</v>
      </c>
      <c r="P166" s="7">
        <v>3.7499999999999999E-2</v>
      </c>
      <c r="S166" s="6">
        <f t="shared" ref="S166:S174" si="12">IF(N166&lt;&gt;"",N166,"")</f>
        <v>42</v>
      </c>
    </row>
    <row r="167" spans="1:19" ht="15" customHeight="1" x14ac:dyDescent="0.3">
      <c r="A167" s="2" t="s">
        <v>848</v>
      </c>
      <c r="B167" s="2" t="s">
        <v>849</v>
      </c>
      <c r="C167" s="2" t="s">
        <v>850</v>
      </c>
      <c r="D167" s="2" t="s">
        <v>836</v>
      </c>
      <c r="E167" s="2">
        <v>1</v>
      </c>
      <c r="F167" s="2">
        <v>0</v>
      </c>
      <c r="G167" s="2">
        <v>0</v>
      </c>
      <c r="H167" s="2" t="s">
        <v>49</v>
      </c>
      <c r="I167" s="2" t="s">
        <v>851</v>
      </c>
      <c r="J167" s="2" t="s">
        <v>852</v>
      </c>
      <c r="K167" s="2" t="s">
        <v>847</v>
      </c>
      <c r="L167" s="4">
        <v>9</v>
      </c>
      <c r="M167" s="5">
        <v>12</v>
      </c>
      <c r="N167" s="6">
        <f t="shared" si="11"/>
        <v>108</v>
      </c>
      <c r="O167" s="2" t="s">
        <v>51</v>
      </c>
      <c r="P167" s="7">
        <v>4.8611099999999997E-2</v>
      </c>
      <c r="S167" s="6">
        <f t="shared" si="12"/>
        <v>108</v>
      </c>
    </row>
    <row r="168" spans="1:19" ht="15" customHeight="1" x14ac:dyDescent="0.3">
      <c r="A168" s="2" t="s">
        <v>853</v>
      </c>
      <c r="B168" s="2" t="s">
        <v>854</v>
      </c>
      <c r="C168" s="2" t="s">
        <v>855</v>
      </c>
      <c r="D168" s="2" t="s">
        <v>836</v>
      </c>
      <c r="E168" s="2">
        <v>1</v>
      </c>
      <c r="F168" s="2">
        <v>0</v>
      </c>
      <c r="G168" s="2">
        <v>1</v>
      </c>
      <c r="H168" s="2" t="s">
        <v>49</v>
      </c>
      <c r="I168" s="2" t="s">
        <v>854</v>
      </c>
      <c r="J168" s="2" t="s">
        <v>856</v>
      </c>
      <c r="K168" s="2" t="s">
        <v>836</v>
      </c>
      <c r="L168" s="4">
        <v>9.5</v>
      </c>
      <c r="M168" s="5">
        <v>3</v>
      </c>
      <c r="N168" s="6">
        <f t="shared" si="11"/>
        <v>28.5</v>
      </c>
      <c r="O168" s="2" t="s">
        <v>51</v>
      </c>
      <c r="P168" s="7">
        <v>6.5789500000000001E-3</v>
      </c>
      <c r="S168" s="6">
        <f t="shared" si="12"/>
        <v>28.5</v>
      </c>
    </row>
    <row r="169" spans="1:19" ht="15" customHeight="1" x14ac:dyDescent="0.3">
      <c r="A169" s="2" t="s">
        <v>857</v>
      </c>
      <c r="B169" s="2" t="s">
        <v>858</v>
      </c>
      <c r="C169" s="2" t="s">
        <v>859</v>
      </c>
      <c r="D169" s="2" t="s">
        <v>847</v>
      </c>
      <c r="E169" s="2">
        <v>1</v>
      </c>
      <c r="F169" s="2">
        <v>0</v>
      </c>
      <c r="G169" s="2">
        <v>0</v>
      </c>
      <c r="H169" s="2" t="s">
        <v>49</v>
      </c>
      <c r="I169" s="2" t="s">
        <v>858</v>
      </c>
      <c r="J169" s="2" t="s">
        <v>860</v>
      </c>
      <c r="K169" s="2" t="s">
        <v>836</v>
      </c>
      <c r="L169" s="4">
        <v>11</v>
      </c>
      <c r="M169" s="5">
        <v>2.95</v>
      </c>
      <c r="N169" s="6">
        <f t="shared" si="11"/>
        <v>32.450000000000003</v>
      </c>
      <c r="O169" s="2" t="s">
        <v>51</v>
      </c>
      <c r="P169" s="7">
        <v>0</v>
      </c>
      <c r="S169" s="6">
        <f t="shared" si="12"/>
        <v>32.450000000000003</v>
      </c>
    </row>
    <row r="170" spans="1:19" ht="15" customHeight="1" x14ac:dyDescent="0.3">
      <c r="A170" s="2" t="s">
        <v>861</v>
      </c>
      <c r="B170" s="2" t="s">
        <v>862</v>
      </c>
      <c r="C170" s="2" t="s">
        <v>863</v>
      </c>
      <c r="D170" s="2" t="s">
        <v>864</v>
      </c>
      <c r="E170" s="2">
        <v>1</v>
      </c>
      <c r="F170" s="2">
        <v>1</v>
      </c>
      <c r="G170" s="2">
        <v>0</v>
      </c>
      <c r="H170" s="2" t="s">
        <v>49</v>
      </c>
      <c r="I170" s="2" t="s">
        <v>865</v>
      </c>
      <c r="J170" s="2" t="s">
        <v>866</v>
      </c>
      <c r="K170" s="2" t="s">
        <v>867</v>
      </c>
      <c r="L170" s="4">
        <v>9</v>
      </c>
      <c r="M170" s="5">
        <v>6.25</v>
      </c>
      <c r="N170" s="6">
        <f t="shared" si="11"/>
        <v>56.25</v>
      </c>
      <c r="O170" s="2" t="s">
        <v>51</v>
      </c>
      <c r="P170" s="7">
        <v>0.111111</v>
      </c>
      <c r="S170" s="6">
        <f t="shared" si="12"/>
        <v>56.25</v>
      </c>
    </row>
    <row r="171" spans="1:19" ht="15" customHeight="1" x14ac:dyDescent="0.3">
      <c r="A171" s="2" t="s">
        <v>868</v>
      </c>
      <c r="B171" s="2" t="s">
        <v>869</v>
      </c>
      <c r="C171" s="2" t="s">
        <v>870</v>
      </c>
      <c r="D171" s="2" t="s">
        <v>864</v>
      </c>
      <c r="E171" s="2">
        <v>1</v>
      </c>
      <c r="F171" s="2">
        <v>1</v>
      </c>
      <c r="G171" s="2">
        <v>0</v>
      </c>
      <c r="H171" s="2" t="s">
        <v>49</v>
      </c>
      <c r="I171" s="2" t="s">
        <v>871</v>
      </c>
      <c r="J171" s="2" t="s">
        <v>872</v>
      </c>
      <c r="K171" s="2" t="s">
        <v>864</v>
      </c>
      <c r="L171" s="4">
        <v>10</v>
      </c>
      <c r="M171" s="5">
        <v>8</v>
      </c>
      <c r="N171" s="6">
        <f t="shared" si="11"/>
        <v>80</v>
      </c>
      <c r="O171" s="2" t="s">
        <v>51</v>
      </c>
      <c r="P171" s="7">
        <v>6.2500000000000003E-3</v>
      </c>
      <c r="S171" s="6">
        <f t="shared" si="12"/>
        <v>80</v>
      </c>
    </row>
    <row r="172" spans="1:19" ht="15" customHeight="1" x14ac:dyDescent="0.3">
      <c r="A172" s="2" t="s">
        <v>873</v>
      </c>
      <c r="B172" s="2" t="s">
        <v>874</v>
      </c>
      <c r="C172" s="2" t="s">
        <v>875</v>
      </c>
      <c r="D172" s="2" t="s">
        <v>864</v>
      </c>
      <c r="E172" s="2">
        <v>1</v>
      </c>
      <c r="F172" s="2">
        <v>0</v>
      </c>
      <c r="G172" s="2">
        <v>0</v>
      </c>
      <c r="H172" s="2" t="s">
        <v>49</v>
      </c>
      <c r="I172" s="2" t="s">
        <v>876</v>
      </c>
      <c r="J172" s="2" t="s">
        <v>877</v>
      </c>
      <c r="K172" s="2" t="s">
        <v>811</v>
      </c>
      <c r="L172" s="4">
        <v>6</v>
      </c>
      <c r="M172" s="5">
        <v>1.3</v>
      </c>
      <c r="N172" s="6">
        <f t="shared" si="11"/>
        <v>7.8000000000000007</v>
      </c>
      <c r="O172" s="2" t="s">
        <v>51</v>
      </c>
      <c r="P172" s="7">
        <v>1.0416699999999999E-2</v>
      </c>
      <c r="S172" s="6">
        <f t="shared" si="12"/>
        <v>7.8000000000000007</v>
      </c>
    </row>
    <row r="173" spans="1:19" ht="15" customHeight="1" x14ac:dyDescent="0.3">
      <c r="A173" s="2" t="s">
        <v>878</v>
      </c>
      <c r="B173" s="2" t="s">
        <v>879</v>
      </c>
      <c r="C173" s="2" t="s">
        <v>880</v>
      </c>
      <c r="D173" s="2" t="s">
        <v>867</v>
      </c>
      <c r="E173" s="2">
        <v>1</v>
      </c>
      <c r="F173" s="2">
        <v>0</v>
      </c>
      <c r="G173" s="2">
        <v>0</v>
      </c>
      <c r="H173" s="2" t="s">
        <v>49</v>
      </c>
      <c r="I173" s="2" t="s">
        <v>879</v>
      </c>
      <c r="J173" s="2" t="s">
        <v>881</v>
      </c>
      <c r="K173" s="2" t="s">
        <v>867</v>
      </c>
      <c r="L173" s="4">
        <v>29.5</v>
      </c>
      <c r="M173" s="5">
        <v>360</v>
      </c>
      <c r="N173" s="6">
        <f t="shared" si="11"/>
        <v>10620</v>
      </c>
      <c r="O173" s="2" t="s">
        <v>51</v>
      </c>
      <c r="P173" s="7">
        <v>2.1186400000000001E-2</v>
      </c>
      <c r="S173" s="6">
        <f t="shared" si="12"/>
        <v>10620</v>
      </c>
    </row>
    <row r="174" spans="1:19" ht="15" customHeight="1" x14ac:dyDescent="0.3">
      <c r="A174" s="2" t="s">
        <v>882</v>
      </c>
      <c r="B174" s="2" t="s">
        <v>883</v>
      </c>
      <c r="C174" s="2" t="s">
        <v>884</v>
      </c>
      <c r="D174" s="2" t="s">
        <v>867</v>
      </c>
      <c r="E174" s="2">
        <v>1</v>
      </c>
      <c r="F174" s="2">
        <v>0</v>
      </c>
      <c r="G174" s="2">
        <v>0</v>
      </c>
      <c r="H174" s="2" t="s">
        <v>49</v>
      </c>
      <c r="I174" s="2" t="s">
        <v>885</v>
      </c>
      <c r="J174" s="2" t="s">
        <v>886</v>
      </c>
      <c r="K174" s="2" t="s">
        <v>887</v>
      </c>
      <c r="L174" s="4">
        <v>16</v>
      </c>
      <c r="M174" s="5">
        <v>30</v>
      </c>
      <c r="N174" s="6">
        <f t="shared" si="11"/>
        <v>480</v>
      </c>
      <c r="O174" s="2" t="s">
        <v>51</v>
      </c>
      <c r="P174" s="7">
        <v>0.375</v>
      </c>
      <c r="S174" s="6">
        <f t="shared" si="12"/>
        <v>480</v>
      </c>
    </row>
    <row r="175" spans="1:19" ht="15" customHeight="1" x14ac:dyDescent="0.3">
      <c r="A175" s="2" t="s">
        <v>888</v>
      </c>
      <c r="B175" s="2" t="s">
        <v>889</v>
      </c>
      <c r="C175" s="2" t="s">
        <v>890</v>
      </c>
      <c r="D175" s="2" t="s">
        <v>867</v>
      </c>
      <c r="E175" s="2">
        <v>1</v>
      </c>
      <c r="F175" s="2">
        <v>1</v>
      </c>
      <c r="G175" s="2">
        <v>1</v>
      </c>
      <c r="H175" s="8" t="s">
        <v>67</v>
      </c>
      <c r="I175" s="2" t="s">
        <v>891</v>
      </c>
      <c r="J175" s="2" t="s">
        <v>892</v>
      </c>
      <c r="R175" s="9">
        <v>135</v>
      </c>
      <c r="S175" s="6">
        <f>R175</f>
        <v>135</v>
      </c>
    </row>
    <row r="176" spans="1:19" ht="15" customHeight="1" x14ac:dyDescent="0.3">
      <c r="A176" s="2" t="s">
        <v>893</v>
      </c>
      <c r="B176" s="2" t="s">
        <v>894</v>
      </c>
      <c r="C176" s="2" t="s">
        <v>895</v>
      </c>
      <c r="D176" s="2" t="s">
        <v>896</v>
      </c>
      <c r="E176" s="2">
        <v>1</v>
      </c>
      <c r="F176" s="2">
        <v>1</v>
      </c>
      <c r="G176" s="2">
        <v>0</v>
      </c>
      <c r="H176" s="2" t="s">
        <v>55</v>
      </c>
      <c r="I176" s="2" t="s">
        <v>897</v>
      </c>
      <c r="J176" s="2" t="s">
        <v>898</v>
      </c>
      <c r="K176" s="2" t="s">
        <v>899</v>
      </c>
      <c r="L176" s="4">
        <v>14</v>
      </c>
      <c r="M176" s="5">
        <v>3.6</v>
      </c>
      <c r="N176" s="6">
        <f>L176*M176</f>
        <v>50.4</v>
      </c>
      <c r="O176" s="2" t="s">
        <v>51</v>
      </c>
      <c r="P176" s="7">
        <v>0.57142899999999996</v>
      </c>
      <c r="S176" s="6">
        <f t="shared" ref="S176:S181" si="13">IF(N176&lt;&gt;"",N176,"")</f>
        <v>50.4</v>
      </c>
    </row>
    <row r="177" spans="1:19" ht="15" customHeight="1" x14ac:dyDescent="0.3">
      <c r="A177" s="2" t="s">
        <v>900</v>
      </c>
      <c r="B177" s="2" t="s">
        <v>901</v>
      </c>
      <c r="C177" s="2" t="s">
        <v>902</v>
      </c>
      <c r="D177" s="2" t="s">
        <v>899</v>
      </c>
      <c r="E177" s="2">
        <v>1</v>
      </c>
      <c r="F177" s="2">
        <v>1</v>
      </c>
      <c r="G177" s="2">
        <v>0</v>
      </c>
      <c r="H177" s="2" t="s">
        <v>55</v>
      </c>
      <c r="I177" s="2" t="s">
        <v>903</v>
      </c>
      <c r="J177" s="2" t="s">
        <v>904</v>
      </c>
      <c r="K177" s="2" t="s">
        <v>899</v>
      </c>
      <c r="L177" s="4">
        <v>7</v>
      </c>
      <c r="M177" s="5">
        <v>5</v>
      </c>
      <c r="N177" s="6">
        <f>L177*M177</f>
        <v>35</v>
      </c>
      <c r="O177" s="2" t="s">
        <v>51</v>
      </c>
      <c r="P177" s="7">
        <v>3.5714299999999997E-2</v>
      </c>
      <c r="S177" s="6">
        <f t="shared" si="13"/>
        <v>35</v>
      </c>
    </row>
    <row r="178" spans="1:19" ht="15" customHeight="1" x14ac:dyDescent="0.3">
      <c r="A178" s="2" t="s">
        <v>905</v>
      </c>
      <c r="B178" s="2" t="s">
        <v>906</v>
      </c>
      <c r="C178" s="2" t="s">
        <v>907</v>
      </c>
      <c r="D178" s="2" t="s">
        <v>899</v>
      </c>
      <c r="E178" s="2">
        <v>2</v>
      </c>
      <c r="F178" s="2">
        <v>0</v>
      </c>
      <c r="G178" s="2">
        <v>1</v>
      </c>
      <c r="H178" s="2" t="s">
        <v>115</v>
      </c>
      <c r="I178" s="2" t="s">
        <v>908</v>
      </c>
      <c r="J178" s="2" t="s">
        <v>909</v>
      </c>
      <c r="S178" s="6" t="str">
        <f t="shared" si="13"/>
        <v/>
      </c>
    </row>
    <row r="179" spans="1:19" ht="15" customHeight="1" x14ac:dyDescent="0.3">
      <c r="A179" s="2" t="s">
        <v>910</v>
      </c>
      <c r="B179" s="2" t="s">
        <v>911</v>
      </c>
      <c r="C179" s="2" t="s">
        <v>912</v>
      </c>
      <c r="D179" s="2" t="s">
        <v>913</v>
      </c>
      <c r="E179" s="2">
        <v>1</v>
      </c>
      <c r="F179" s="2">
        <v>0</v>
      </c>
      <c r="G179" s="2">
        <v>0</v>
      </c>
      <c r="H179" s="2" t="s">
        <v>49</v>
      </c>
      <c r="I179" s="2" t="s">
        <v>911</v>
      </c>
      <c r="J179" s="2" t="s">
        <v>914</v>
      </c>
      <c r="K179" s="2" t="s">
        <v>915</v>
      </c>
      <c r="L179" s="4">
        <v>14</v>
      </c>
      <c r="M179" s="5">
        <v>10</v>
      </c>
      <c r="N179" s="6">
        <f>L179*M179</f>
        <v>140</v>
      </c>
      <c r="O179" s="2" t="s">
        <v>51</v>
      </c>
      <c r="P179" s="7">
        <v>2.2321400000000001E-3</v>
      </c>
      <c r="S179" s="6">
        <f t="shared" si="13"/>
        <v>140</v>
      </c>
    </row>
    <row r="180" spans="1:19" ht="15" customHeight="1" x14ac:dyDescent="0.3">
      <c r="A180" s="2" t="s">
        <v>916</v>
      </c>
      <c r="B180" s="2" t="s">
        <v>917</v>
      </c>
      <c r="C180" s="2" t="s">
        <v>918</v>
      </c>
      <c r="D180" s="2" t="s">
        <v>915</v>
      </c>
      <c r="E180" s="2">
        <v>1</v>
      </c>
      <c r="F180" s="2">
        <v>1</v>
      </c>
      <c r="G180" s="2">
        <v>0</v>
      </c>
      <c r="H180" s="2" t="s">
        <v>49</v>
      </c>
      <c r="I180" s="2" t="s">
        <v>917</v>
      </c>
      <c r="J180" s="2" t="s">
        <v>919</v>
      </c>
      <c r="K180" s="2" t="s">
        <v>920</v>
      </c>
      <c r="L180" s="4">
        <v>8</v>
      </c>
      <c r="M180" s="5">
        <v>6</v>
      </c>
      <c r="N180" s="6">
        <f>L180*M180</f>
        <v>48</v>
      </c>
      <c r="O180" s="2" t="s">
        <v>51</v>
      </c>
      <c r="P180" s="7">
        <v>0.25</v>
      </c>
      <c r="S180" s="6">
        <f t="shared" si="13"/>
        <v>48</v>
      </c>
    </row>
    <row r="181" spans="1:19" ht="15" customHeight="1" x14ac:dyDescent="0.3">
      <c r="A181" s="2" t="s">
        <v>921</v>
      </c>
      <c r="B181" s="2" t="s">
        <v>922</v>
      </c>
      <c r="C181" s="2" t="s">
        <v>923</v>
      </c>
      <c r="D181" s="2" t="s">
        <v>920</v>
      </c>
      <c r="E181" s="2">
        <v>1</v>
      </c>
      <c r="F181" s="2">
        <v>1</v>
      </c>
      <c r="G181" s="2">
        <v>0</v>
      </c>
      <c r="H181" s="2" t="s">
        <v>49</v>
      </c>
      <c r="I181" s="2" t="s">
        <v>922</v>
      </c>
      <c r="J181" s="2" t="s">
        <v>924</v>
      </c>
      <c r="K181" s="2" t="s">
        <v>920</v>
      </c>
      <c r="L181" s="4">
        <v>8</v>
      </c>
      <c r="M181" s="5">
        <v>7</v>
      </c>
      <c r="N181" s="6">
        <f>L181*M181</f>
        <v>56</v>
      </c>
      <c r="O181" s="2" t="s">
        <v>51</v>
      </c>
      <c r="P181" s="7">
        <v>7.8125E-3</v>
      </c>
      <c r="S181" s="6">
        <f t="shared" si="13"/>
        <v>56</v>
      </c>
    </row>
    <row r="182" spans="1:19" ht="15" customHeight="1" x14ac:dyDescent="0.3">
      <c r="A182" s="2" t="s">
        <v>925</v>
      </c>
      <c r="B182" s="2" t="s">
        <v>926</v>
      </c>
      <c r="C182" s="2" t="s">
        <v>927</v>
      </c>
      <c r="D182" s="2" t="s">
        <v>920</v>
      </c>
      <c r="E182" s="2">
        <v>1</v>
      </c>
      <c r="F182" s="2">
        <v>1</v>
      </c>
      <c r="G182" s="2">
        <v>0</v>
      </c>
      <c r="H182" s="8" t="s">
        <v>67</v>
      </c>
      <c r="I182" s="2" t="s">
        <v>928</v>
      </c>
      <c r="J182" s="2" t="s">
        <v>929</v>
      </c>
      <c r="R182" s="9">
        <v>135</v>
      </c>
      <c r="S182" s="6">
        <f>R182</f>
        <v>135</v>
      </c>
    </row>
    <row r="183" spans="1:19" ht="15" customHeight="1" x14ac:dyDescent="0.3">
      <c r="A183" s="2" t="s">
        <v>930</v>
      </c>
      <c r="B183" s="2" t="s">
        <v>931</v>
      </c>
      <c r="C183" s="2" t="s">
        <v>932</v>
      </c>
      <c r="D183" s="2" t="s">
        <v>933</v>
      </c>
      <c r="E183" s="2">
        <v>1</v>
      </c>
      <c r="F183" s="2">
        <v>1</v>
      </c>
      <c r="G183" s="2">
        <v>1</v>
      </c>
      <c r="H183" s="2" t="s">
        <v>49</v>
      </c>
      <c r="I183" s="2" t="s">
        <v>931</v>
      </c>
      <c r="J183" s="2" t="s">
        <v>934</v>
      </c>
      <c r="K183" s="2" t="s">
        <v>933</v>
      </c>
      <c r="L183" s="4">
        <v>8</v>
      </c>
      <c r="M183" s="5">
        <v>4.2</v>
      </c>
      <c r="N183" s="6">
        <f t="shared" ref="N183:N188" si="14">L183*M183</f>
        <v>33.6</v>
      </c>
      <c r="O183" s="2" t="s">
        <v>51</v>
      </c>
      <c r="P183" s="7">
        <v>0.28125</v>
      </c>
      <c r="S183" s="6">
        <f t="shared" ref="S183:S201" si="15">IF(N183&lt;&gt;"",N183,"")</f>
        <v>33.6</v>
      </c>
    </row>
    <row r="184" spans="1:19" ht="15" customHeight="1" x14ac:dyDescent="0.3">
      <c r="A184" s="2" t="s">
        <v>935</v>
      </c>
      <c r="B184" s="2" t="s">
        <v>936</v>
      </c>
      <c r="C184" s="2" t="s">
        <v>937</v>
      </c>
      <c r="D184" s="2" t="s">
        <v>938</v>
      </c>
      <c r="E184" s="2">
        <v>1</v>
      </c>
      <c r="F184" s="2">
        <v>1</v>
      </c>
      <c r="G184" s="2">
        <v>1</v>
      </c>
      <c r="H184" s="2" t="s">
        <v>49</v>
      </c>
      <c r="I184" s="2" t="s">
        <v>939</v>
      </c>
      <c r="J184" s="2" t="s">
        <v>940</v>
      </c>
      <c r="K184" s="2" t="s">
        <v>941</v>
      </c>
      <c r="L184" s="4">
        <v>10</v>
      </c>
      <c r="M184" s="5">
        <v>11</v>
      </c>
      <c r="N184" s="6">
        <f t="shared" si="14"/>
        <v>110</v>
      </c>
      <c r="O184" s="2" t="s">
        <v>51</v>
      </c>
      <c r="P184" s="7">
        <v>0.15</v>
      </c>
      <c r="S184" s="6">
        <f t="shared" si="15"/>
        <v>110</v>
      </c>
    </row>
    <row r="185" spans="1:19" ht="15" customHeight="1" x14ac:dyDescent="0.3">
      <c r="A185" s="2" t="s">
        <v>942</v>
      </c>
      <c r="B185" s="2" t="s">
        <v>943</v>
      </c>
      <c r="C185" s="2" t="s">
        <v>944</v>
      </c>
      <c r="D185" s="2" t="s">
        <v>938</v>
      </c>
      <c r="E185" s="2">
        <v>1</v>
      </c>
      <c r="F185" s="2">
        <v>1</v>
      </c>
      <c r="G185" s="2">
        <v>0</v>
      </c>
      <c r="H185" s="2" t="s">
        <v>49</v>
      </c>
      <c r="I185" s="2" t="s">
        <v>943</v>
      </c>
      <c r="J185" s="2" t="s">
        <v>945</v>
      </c>
      <c r="K185" s="2" t="s">
        <v>941</v>
      </c>
      <c r="L185" s="4">
        <v>20</v>
      </c>
      <c r="M185" s="5">
        <v>5</v>
      </c>
      <c r="N185" s="6">
        <f t="shared" si="14"/>
        <v>100</v>
      </c>
      <c r="O185" s="2" t="s">
        <v>51</v>
      </c>
      <c r="P185" s="7">
        <v>1</v>
      </c>
      <c r="S185" s="6">
        <f t="shared" si="15"/>
        <v>100</v>
      </c>
    </row>
    <row r="186" spans="1:19" ht="15" customHeight="1" x14ac:dyDescent="0.3">
      <c r="A186" s="2" t="s">
        <v>946</v>
      </c>
      <c r="B186" s="2" t="s">
        <v>947</v>
      </c>
      <c r="C186" s="2" t="s">
        <v>948</v>
      </c>
      <c r="D186" s="2" t="s">
        <v>938</v>
      </c>
      <c r="E186" s="2">
        <v>1</v>
      </c>
      <c r="F186" s="2">
        <v>0</v>
      </c>
      <c r="G186" s="2">
        <v>0</v>
      </c>
      <c r="H186" s="2" t="s">
        <v>49</v>
      </c>
      <c r="I186" s="2" t="s">
        <v>947</v>
      </c>
      <c r="J186" s="2" t="s">
        <v>949</v>
      </c>
      <c r="K186" s="2" t="s">
        <v>941</v>
      </c>
      <c r="L186" s="4">
        <v>11</v>
      </c>
      <c r="M186" s="5">
        <v>8</v>
      </c>
      <c r="N186" s="6">
        <f t="shared" si="14"/>
        <v>88</v>
      </c>
      <c r="O186" s="2" t="s">
        <v>51</v>
      </c>
      <c r="P186" s="7">
        <v>2.8409099999999999E-3</v>
      </c>
      <c r="S186" s="6">
        <f t="shared" si="15"/>
        <v>88</v>
      </c>
    </row>
    <row r="187" spans="1:19" ht="15" customHeight="1" x14ac:dyDescent="0.3">
      <c r="A187" s="2" t="s">
        <v>950</v>
      </c>
      <c r="B187" s="2" t="s">
        <v>951</v>
      </c>
      <c r="C187" s="2" t="s">
        <v>952</v>
      </c>
      <c r="D187" s="2" t="s">
        <v>941</v>
      </c>
      <c r="E187" s="2">
        <v>1</v>
      </c>
      <c r="F187" s="2">
        <v>1</v>
      </c>
      <c r="G187" s="2">
        <v>0</v>
      </c>
      <c r="H187" s="2" t="s">
        <v>49</v>
      </c>
      <c r="I187" s="2" t="s">
        <v>951</v>
      </c>
      <c r="J187" s="2" t="s">
        <v>953</v>
      </c>
      <c r="K187" s="2" t="s">
        <v>941</v>
      </c>
      <c r="L187" s="4">
        <v>12</v>
      </c>
      <c r="M187" s="5">
        <v>3.5</v>
      </c>
      <c r="N187" s="6">
        <f t="shared" si="14"/>
        <v>42</v>
      </c>
      <c r="O187" s="2" t="s">
        <v>51</v>
      </c>
      <c r="P187" s="7">
        <v>-1.0416699999999999E-2</v>
      </c>
      <c r="S187" s="6">
        <f t="shared" si="15"/>
        <v>42</v>
      </c>
    </row>
    <row r="188" spans="1:19" ht="15" customHeight="1" x14ac:dyDescent="0.3">
      <c r="A188" s="2" t="s">
        <v>954</v>
      </c>
      <c r="B188" s="2" t="s">
        <v>955</v>
      </c>
      <c r="C188" s="2" t="s">
        <v>956</v>
      </c>
      <c r="D188" s="2" t="s">
        <v>941</v>
      </c>
      <c r="E188" s="2">
        <v>1</v>
      </c>
      <c r="F188" s="2">
        <v>1</v>
      </c>
      <c r="G188" s="2">
        <v>0</v>
      </c>
      <c r="H188" s="2" t="s">
        <v>49</v>
      </c>
      <c r="I188" s="2" t="s">
        <v>955</v>
      </c>
      <c r="J188" s="2" t="s">
        <v>957</v>
      </c>
      <c r="K188" s="2" t="s">
        <v>958</v>
      </c>
      <c r="L188" s="4">
        <v>10</v>
      </c>
      <c r="M188" s="5">
        <v>5.75</v>
      </c>
      <c r="N188" s="6">
        <f t="shared" si="14"/>
        <v>57.5</v>
      </c>
      <c r="O188" s="2" t="s">
        <v>51</v>
      </c>
      <c r="P188" s="7">
        <v>0.125</v>
      </c>
      <c r="S188" s="6">
        <f t="shared" si="15"/>
        <v>57.5</v>
      </c>
    </row>
    <row r="189" spans="1:19" ht="15" customHeight="1" x14ac:dyDescent="0.3">
      <c r="A189" s="2" t="s">
        <v>959</v>
      </c>
      <c r="B189" s="2" t="s">
        <v>960</v>
      </c>
      <c r="C189" s="2" t="s">
        <v>961</v>
      </c>
      <c r="D189" s="2" t="s">
        <v>958</v>
      </c>
      <c r="E189" s="2">
        <v>2</v>
      </c>
      <c r="F189" s="2">
        <v>0</v>
      </c>
      <c r="G189" s="2">
        <v>0</v>
      </c>
      <c r="H189" s="2" t="s">
        <v>115</v>
      </c>
      <c r="I189" s="2" t="s">
        <v>962</v>
      </c>
      <c r="J189" s="2" t="s">
        <v>959</v>
      </c>
      <c r="S189" s="6" t="str">
        <f t="shared" si="15"/>
        <v/>
      </c>
    </row>
    <row r="190" spans="1:19" ht="15" customHeight="1" x14ac:dyDescent="0.3">
      <c r="A190" s="2" t="s">
        <v>963</v>
      </c>
      <c r="B190" s="2" t="s">
        <v>964</v>
      </c>
      <c r="C190" s="2" t="s">
        <v>965</v>
      </c>
      <c r="D190" s="2" t="s">
        <v>958</v>
      </c>
      <c r="E190" s="2">
        <v>1</v>
      </c>
      <c r="F190" s="2">
        <v>0</v>
      </c>
      <c r="G190" s="2">
        <v>1</v>
      </c>
      <c r="H190" s="2" t="s">
        <v>49</v>
      </c>
      <c r="I190" s="2" t="s">
        <v>964</v>
      </c>
      <c r="J190" s="2" t="s">
        <v>966</v>
      </c>
      <c r="K190" s="2" t="s">
        <v>958</v>
      </c>
      <c r="L190" s="4">
        <v>7</v>
      </c>
      <c r="M190" s="5">
        <v>3.3</v>
      </c>
      <c r="N190" s="6">
        <f t="shared" ref="N190:N201" si="16">L190*M190</f>
        <v>23.099999999999998</v>
      </c>
      <c r="O190" s="2" t="s">
        <v>51</v>
      </c>
      <c r="P190" s="7">
        <v>0</v>
      </c>
      <c r="S190" s="6">
        <f t="shared" si="15"/>
        <v>23.099999999999998</v>
      </c>
    </row>
    <row r="191" spans="1:19" ht="15" customHeight="1" x14ac:dyDescent="0.3">
      <c r="A191" s="2" t="s">
        <v>967</v>
      </c>
      <c r="B191" s="2" t="s">
        <v>968</v>
      </c>
      <c r="C191" s="2" t="s">
        <v>969</v>
      </c>
      <c r="D191" s="2" t="s">
        <v>970</v>
      </c>
      <c r="E191" s="2">
        <v>1</v>
      </c>
      <c r="F191" s="2">
        <v>0</v>
      </c>
      <c r="G191" s="2">
        <v>0</v>
      </c>
      <c r="H191" s="2" t="s">
        <v>49</v>
      </c>
      <c r="I191" s="2" t="s">
        <v>968</v>
      </c>
      <c r="J191" s="2" t="s">
        <v>971</v>
      </c>
      <c r="K191" s="2" t="s">
        <v>972</v>
      </c>
      <c r="L191" s="4">
        <v>13</v>
      </c>
      <c r="M191" s="5">
        <v>12.5</v>
      </c>
      <c r="N191" s="6">
        <f t="shared" si="16"/>
        <v>162.5</v>
      </c>
      <c r="O191" s="2" t="s">
        <v>51</v>
      </c>
      <c r="P191" s="7">
        <v>0</v>
      </c>
      <c r="S191" s="6">
        <f t="shared" si="15"/>
        <v>162.5</v>
      </c>
    </row>
    <row r="192" spans="1:19" ht="15" customHeight="1" x14ac:dyDescent="0.3">
      <c r="A192" s="2" t="s">
        <v>973</v>
      </c>
      <c r="B192" s="2" t="s">
        <v>974</v>
      </c>
      <c r="C192" s="2" t="s">
        <v>975</v>
      </c>
      <c r="D192" s="2" t="s">
        <v>972</v>
      </c>
      <c r="E192" s="2">
        <v>1</v>
      </c>
      <c r="F192" s="2">
        <v>1</v>
      </c>
      <c r="G192" s="2">
        <v>1</v>
      </c>
      <c r="H192" s="2" t="s">
        <v>49</v>
      </c>
      <c r="I192" s="2" t="s">
        <v>974</v>
      </c>
      <c r="J192" s="2" t="s">
        <v>976</v>
      </c>
      <c r="K192" s="2" t="s">
        <v>977</v>
      </c>
      <c r="L192" s="4">
        <v>19</v>
      </c>
      <c r="M192" s="5">
        <v>4</v>
      </c>
      <c r="N192" s="6">
        <f t="shared" si="16"/>
        <v>76</v>
      </c>
      <c r="O192" s="2" t="s">
        <v>51</v>
      </c>
      <c r="P192" s="7">
        <v>6.5789500000000001E-2</v>
      </c>
      <c r="S192" s="6">
        <f t="shared" si="15"/>
        <v>76</v>
      </c>
    </row>
    <row r="193" spans="1:19" ht="15" customHeight="1" x14ac:dyDescent="0.3">
      <c r="A193" s="2" t="s">
        <v>978</v>
      </c>
      <c r="B193" s="2" t="s">
        <v>979</v>
      </c>
      <c r="C193" s="2" t="s">
        <v>980</v>
      </c>
      <c r="D193" s="2" t="s">
        <v>972</v>
      </c>
      <c r="E193" s="2">
        <v>1</v>
      </c>
      <c r="F193" s="2">
        <v>0</v>
      </c>
      <c r="G193" s="2">
        <v>0</v>
      </c>
      <c r="H193" s="2" t="s">
        <v>49</v>
      </c>
      <c r="I193" s="2" t="s">
        <v>981</v>
      </c>
      <c r="J193" s="2" t="s">
        <v>982</v>
      </c>
      <c r="K193" s="2" t="s">
        <v>977</v>
      </c>
      <c r="L193" s="4">
        <v>22</v>
      </c>
      <c r="M193" s="5">
        <v>7</v>
      </c>
      <c r="N193" s="6">
        <f t="shared" si="16"/>
        <v>154</v>
      </c>
      <c r="O193" s="2" t="s">
        <v>51</v>
      </c>
      <c r="P193" s="7">
        <v>5.6818199999999999E-2</v>
      </c>
      <c r="S193" s="6">
        <f t="shared" si="15"/>
        <v>154</v>
      </c>
    </row>
    <row r="194" spans="1:19" ht="15" customHeight="1" x14ac:dyDescent="0.3">
      <c r="A194" s="2" t="s">
        <v>983</v>
      </c>
      <c r="B194" s="2" t="s">
        <v>984</v>
      </c>
      <c r="C194" s="2" t="s">
        <v>985</v>
      </c>
      <c r="D194" s="2" t="s">
        <v>977</v>
      </c>
      <c r="E194" s="2">
        <v>1</v>
      </c>
      <c r="F194" s="2">
        <v>1</v>
      </c>
      <c r="G194" s="2">
        <v>1</v>
      </c>
      <c r="H194" s="2" t="s">
        <v>49</v>
      </c>
      <c r="I194" s="2" t="s">
        <v>986</v>
      </c>
      <c r="J194" s="2" t="s">
        <v>987</v>
      </c>
      <c r="K194" s="2" t="s">
        <v>988</v>
      </c>
      <c r="L194" s="4">
        <v>23</v>
      </c>
      <c r="M194" s="5">
        <v>5</v>
      </c>
      <c r="N194" s="6">
        <f t="shared" si="16"/>
        <v>115</v>
      </c>
      <c r="O194" s="2" t="s">
        <v>51</v>
      </c>
      <c r="P194" s="7">
        <v>0.39130399999999999</v>
      </c>
      <c r="S194" s="6">
        <f t="shared" si="15"/>
        <v>115</v>
      </c>
    </row>
    <row r="195" spans="1:19" ht="15" customHeight="1" x14ac:dyDescent="0.3">
      <c r="A195" s="2" t="s">
        <v>989</v>
      </c>
      <c r="B195" s="2" t="s">
        <v>990</v>
      </c>
      <c r="C195" s="2" t="s">
        <v>991</v>
      </c>
      <c r="D195" s="2" t="s">
        <v>988</v>
      </c>
      <c r="E195" s="2">
        <v>1</v>
      </c>
      <c r="F195" s="2">
        <v>1</v>
      </c>
      <c r="G195" s="2">
        <v>0</v>
      </c>
      <c r="H195" s="2" t="s">
        <v>49</v>
      </c>
      <c r="I195" s="2" t="s">
        <v>992</v>
      </c>
      <c r="J195" s="2" t="s">
        <v>993</v>
      </c>
      <c r="K195" s="2" t="s">
        <v>988</v>
      </c>
      <c r="L195" s="4">
        <v>12</v>
      </c>
      <c r="M195" s="5">
        <v>4</v>
      </c>
      <c r="N195" s="6">
        <f t="shared" si="16"/>
        <v>48</v>
      </c>
      <c r="O195" s="2" t="s">
        <v>51</v>
      </c>
      <c r="P195" s="7">
        <v>0.14583299999999999</v>
      </c>
      <c r="S195" s="6">
        <f t="shared" si="15"/>
        <v>48</v>
      </c>
    </row>
    <row r="196" spans="1:19" ht="15" customHeight="1" x14ac:dyDescent="0.3">
      <c r="A196" s="2" t="s">
        <v>994</v>
      </c>
      <c r="B196" s="2" t="s">
        <v>995</v>
      </c>
      <c r="C196" s="2" t="s">
        <v>996</v>
      </c>
      <c r="D196" s="2" t="s">
        <v>997</v>
      </c>
      <c r="E196" s="2">
        <v>1</v>
      </c>
      <c r="F196" s="2">
        <v>0</v>
      </c>
      <c r="G196" s="2">
        <v>0</v>
      </c>
      <c r="H196" s="2" t="s">
        <v>49</v>
      </c>
      <c r="I196" s="2" t="s">
        <v>995</v>
      </c>
      <c r="J196" s="2" t="s">
        <v>998</v>
      </c>
      <c r="K196" s="2" t="s">
        <v>999</v>
      </c>
      <c r="L196" s="4">
        <v>15</v>
      </c>
      <c r="M196" s="5">
        <v>28.17</v>
      </c>
      <c r="N196" s="6">
        <f t="shared" si="16"/>
        <v>422.55</v>
      </c>
      <c r="O196" s="2" t="s">
        <v>51</v>
      </c>
      <c r="P196" s="7">
        <v>0.26666699999999999</v>
      </c>
      <c r="S196" s="6">
        <f t="shared" si="15"/>
        <v>422.55</v>
      </c>
    </row>
    <row r="197" spans="1:19" ht="15" customHeight="1" x14ac:dyDescent="0.3">
      <c r="A197" s="2" t="s">
        <v>1000</v>
      </c>
      <c r="B197" s="2" t="s">
        <v>1001</v>
      </c>
      <c r="C197" s="2" t="s">
        <v>1002</v>
      </c>
      <c r="D197" s="2" t="s">
        <v>999</v>
      </c>
      <c r="E197" s="2">
        <v>1</v>
      </c>
      <c r="F197" s="2">
        <v>0</v>
      </c>
      <c r="G197" s="2">
        <v>0</v>
      </c>
      <c r="H197" s="2" t="s">
        <v>55</v>
      </c>
      <c r="I197" s="2" t="s">
        <v>1003</v>
      </c>
      <c r="J197" s="2" t="s">
        <v>1004</v>
      </c>
      <c r="K197" s="2" t="s">
        <v>999</v>
      </c>
      <c r="L197" s="4">
        <v>8</v>
      </c>
      <c r="M197" s="5">
        <v>3.8</v>
      </c>
      <c r="N197" s="6">
        <f t="shared" si="16"/>
        <v>30.4</v>
      </c>
      <c r="O197" s="2" t="s">
        <v>51</v>
      </c>
      <c r="P197" s="7">
        <v>0</v>
      </c>
      <c r="S197" s="6">
        <f t="shared" si="15"/>
        <v>30.4</v>
      </c>
    </row>
    <row r="198" spans="1:19" ht="15" customHeight="1" x14ac:dyDescent="0.3">
      <c r="A198" s="2" t="s">
        <v>1005</v>
      </c>
      <c r="B198" s="2" t="s">
        <v>1006</v>
      </c>
      <c r="C198" s="2" t="s">
        <v>1007</v>
      </c>
      <c r="D198" s="2" t="s">
        <v>999</v>
      </c>
      <c r="E198" s="2">
        <v>1</v>
      </c>
      <c r="F198" s="2">
        <v>1</v>
      </c>
      <c r="G198" s="2">
        <v>1</v>
      </c>
      <c r="H198" s="2" t="s">
        <v>49</v>
      </c>
      <c r="I198" s="2" t="s">
        <v>1006</v>
      </c>
      <c r="J198" s="2" t="s">
        <v>1008</v>
      </c>
      <c r="K198" s="2" t="s">
        <v>1009</v>
      </c>
      <c r="L198" s="4">
        <v>25</v>
      </c>
      <c r="M198" s="5">
        <v>8</v>
      </c>
      <c r="N198" s="6">
        <f t="shared" si="16"/>
        <v>200</v>
      </c>
      <c r="O198" s="2" t="s">
        <v>51</v>
      </c>
      <c r="P198" s="7">
        <v>2</v>
      </c>
      <c r="S198" s="6">
        <f t="shared" si="15"/>
        <v>200</v>
      </c>
    </row>
    <row r="199" spans="1:19" ht="15" customHeight="1" x14ac:dyDescent="0.3">
      <c r="A199" s="2" t="s">
        <v>1010</v>
      </c>
      <c r="B199" s="2" t="s">
        <v>1011</v>
      </c>
      <c r="C199" s="2" t="s">
        <v>1012</v>
      </c>
      <c r="D199" s="2" t="s">
        <v>1009</v>
      </c>
      <c r="E199" s="2">
        <v>1</v>
      </c>
      <c r="F199" s="2">
        <v>1</v>
      </c>
      <c r="G199" s="2">
        <v>1</v>
      </c>
      <c r="H199" s="2" t="s">
        <v>49</v>
      </c>
      <c r="I199" s="2" t="s">
        <v>1011</v>
      </c>
      <c r="J199" s="2" t="s">
        <v>1013</v>
      </c>
      <c r="K199" s="2" t="s">
        <v>1009</v>
      </c>
      <c r="L199" s="4">
        <v>10</v>
      </c>
      <c r="M199" s="5">
        <v>4</v>
      </c>
      <c r="N199" s="6">
        <f t="shared" si="16"/>
        <v>40</v>
      </c>
      <c r="O199" s="2" t="s">
        <v>51</v>
      </c>
      <c r="P199" s="7">
        <v>0</v>
      </c>
      <c r="S199" s="6">
        <f t="shared" si="15"/>
        <v>40</v>
      </c>
    </row>
    <row r="200" spans="1:19" ht="15" customHeight="1" x14ac:dyDescent="0.3">
      <c r="A200" s="2" t="s">
        <v>1014</v>
      </c>
      <c r="B200" s="2" t="s">
        <v>1015</v>
      </c>
      <c r="C200" s="2" t="s">
        <v>1016</v>
      </c>
      <c r="D200" s="2" t="s">
        <v>1017</v>
      </c>
      <c r="E200" s="2">
        <v>1</v>
      </c>
      <c r="F200" s="2">
        <v>1</v>
      </c>
      <c r="G200" s="2">
        <v>1</v>
      </c>
      <c r="H200" s="2" t="s">
        <v>49</v>
      </c>
      <c r="I200" s="2" t="s">
        <v>1015</v>
      </c>
      <c r="J200" s="2" t="s">
        <v>1018</v>
      </c>
      <c r="K200" s="2" t="s">
        <v>1017</v>
      </c>
      <c r="L200" s="4">
        <v>10</v>
      </c>
      <c r="M200" s="5">
        <v>6</v>
      </c>
      <c r="N200" s="6">
        <f t="shared" si="16"/>
        <v>60</v>
      </c>
      <c r="O200" s="2" t="s">
        <v>51</v>
      </c>
      <c r="P200" s="7">
        <v>6.2500000000000003E-3</v>
      </c>
      <c r="S200" s="6">
        <f t="shared" si="15"/>
        <v>60</v>
      </c>
    </row>
    <row r="201" spans="1:19" ht="15" customHeight="1" x14ac:dyDescent="0.3">
      <c r="A201" s="2" t="s">
        <v>1019</v>
      </c>
      <c r="B201" s="2" t="s">
        <v>1020</v>
      </c>
      <c r="C201" s="2" t="s">
        <v>1021</v>
      </c>
      <c r="D201" s="2" t="s">
        <v>1022</v>
      </c>
      <c r="E201" s="2">
        <v>1</v>
      </c>
      <c r="F201" s="2">
        <v>1</v>
      </c>
      <c r="G201" s="2">
        <v>0</v>
      </c>
      <c r="H201" s="2" t="s">
        <v>49</v>
      </c>
      <c r="I201" s="2" t="s">
        <v>1020</v>
      </c>
      <c r="J201" s="2" t="s">
        <v>1023</v>
      </c>
      <c r="K201" s="2" t="s">
        <v>1022</v>
      </c>
      <c r="L201" s="4">
        <v>8</v>
      </c>
      <c r="M201" s="5">
        <v>12.5</v>
      </c>
      <c r="N201" s="6">
        <f t="shared" si="16"/>
        <v>100</v>
      </c>
      <c r="O201" s="2" t="s">
        <v>51</v>
      </c>
      <c r="P201" s="7">
        <v>-3.90625E-3</v>
      </c>
      <c r="S201" s="6">
        <f t="shared" si="15"/>
        <v>100</v>
      </c>
    </row>
    <row r="202" spans="1:19" ht="15" customHeight="1" x14ac:dyDescent="0.3">
      <c r="A202" s="2" t="s">
        <v>1024</v>
      </c>
      <c r="C202" s="2" t="s">
        <v>1025</v>
      </c>
      <c r="D202" s="2" t="s">
        <v>1022</v>
      </c>
      <c r="E202" s="2">
        <v>1</v>
      </c>
      <c r="F202" s="2">
        <v>0</v>
      </c>
      <c r="G202" s="2">
        <v>0</v>
      </c>
      <c r="H202" s="8" t="s">
        <v>454</v>
      </c>
      <c r="R202" s="9">
        <v>135</v>
      </c>
      <c r="S202" s="6">
        <f>R202</f>
        <v>135</v>
      </c>
    </row>
    <row r="203" spans="1:19" ht="15" customHeight="1" x14ac:dyDescent="0.3">
      <c r="A203" s="2" t="s">
        <v>1026</v>
      </c>
      <c r="B203" s="2" t="s">
        <v>1027</v>
      </c>
      <c r="C203" s="2" t="s">
        <v>1028</v>
      </c>
      <c r="D203" s="2" t="s">
        <v>1029</v>
      </c>
      <c r="E203" s="2">
        <v>1</v>
      </c>
      <c r="F203" s="2">
        <v>0</v>
      </c>
      <c r="G203" s="2">
        <v>0</v>
      </c>
      <c r="H203" s="2" t="s">
        <v>49</v>
      </c>
      <c r="I203" s="2" t="s">
        <v>1027</v>
      </c>
      <c r="J203" s="2" t="s">
        <v>1030</v>
      </c>
      <c r="K203" s="2" t="s">
        <v>1031</v>
      </c>
      <c r="L203" s="4">
        <v>13</v>
      </c>
      <c r="M203" s="5">
        <v>18.75</v>
      </c>
      <c r="N203" s="6">
        <f>L203*M203</f>
        <v>243.75</v>
      </c>
      <c r="O203" s="2" t="s">
        <v>51</v>
      </c>
      <c r="P203" s="7">
        <v>2.8846199999999999E-2</v>
      </c>
      <c r="S203" s="6">
        <f>IF(N203&lt;&gt;"",N203,"")</f>
        <v>243.75</v>
      </c>
    </row>
    <row r="204" spans="1:19" ht="15" customHeight="1" x14ac:dyDescent="0.3">
      <c r="A204" s="2" t="s">
        <v>1032</v>
      </c>
      <c r="B204" s="2" t="s">
        <v>1033</v>
      </c>
      <c r="C204" s="2" t="s">
        <v>1034</v>
      </c>
      <c r="D204" s="2" t="s">
        <v>1035</v>
      </c>
      <c r="E204" s="2">
        <v>1</v>
      </c>
      <c r="F204" s="2">
        <v>0</v>
      </c>
      <c r="G204" s="2">
        <v>1</v>
      </c>
      <c r="H204" s="8" t="s">
        <v>67</v>
      </c>
      <c r="I204" s="2" t="s">
        <v>1036</v>
      </c>
      <c r="J204" s="2" t="s">
        <v>1037</v>
      </c>
      <c r="R204" s="9">
        <v>135</v>
      </c>
      <c r="S204" s="6">
        <f>R204</f>
        <v>135</v>
      </c>
    </row>
    <row r="205" spans="1:19" ht="15" customHeight="1" x14ac:dyDescent="0.3">
      <c r="A205" s="2" t="s">
        <v>1038</v>
      </c>
      <c r="B205" s="2" t="s">
        <v>1039</v>
      </c>
      <c r="C205" s="2" t="s">
        <v>1040</v>
      </c>
      <c r="D205" s="2" t="s">
        <v>1041</v>
      </c>
      <c r="E205" s="2">
        <v>1</v>
      </c>
      <c r="F205" s="2">
        <v>1</v>
      </c>
      <c r="G205" s="2">
        <v>0</v>
      </c>
      <c r="H205" s="2" t="s">
        <v>49</v>
      </c>
      <c r="I205" s="2" t="s">
        <v>1039</v>
      </c>
      <c r="J205" s="2" t="s">
        <v>1042</v>
      </c>
      <c r="K205" s="2" t="s">
        <v>1041</v>
      </c>
      <c r="L205" s="4">
        <v>9</v>
      </c>
      <c r="M205" s="5">
        <v>5</v>
      </c>
      <c r="N205" s="6">
        <f>L205*M205</f>
        <v>45</v>
      </c>
      <c r="O205" s="2" t="s">
        <v>51</v>
      </c>
      <c r="P205" s="7">
        <v>0</v>
      </c>
      <c r="S205" s="6">
        <f>IF(N205&lt;&gt;"",N205,"")</f>
        <v>45</v>
      </c>
    </row>
    <row r="206" spans="1:19" ht="15" customHeight="1" x14ac:dyDescent="0.3">
      <c r="A206" s="2" t="s">
        <v>1043</v>
      </c>
      <c r="B206" s="2" t="s">
        <v>1044</v>
      </c>
      <c r="C206" s="2" t="s">
        <v>1045</v>
      </c>
      <c r="D206" s="2" t="s">
        <v>1041</v>
      </c>
      <c r="E206" s="2">
        <v>2</v>
      </c>
      <c r="F206" s="2">
        <v>1</v>
      </c>
      <c r="G206" s="2">
        <v>1</v>
      </c>
      <c r="H206" s="2" t="s">
        <v>115</v>
      </c>
      <c r="I206" s="2" t="s">
        <v>1046</v>
      </c>
      <c r="J206" s="2" t="s">
        <v>1047</v>
      </c>
      <c r="S206" s="6" t="str">
        <f>IF(N206&lt;&gt;"",N206,"")</f>
        <v/>
      </c>
    </row>
    <row r="207" spans="1:19" ht="15" customHeight="1" x14ac:dyDescent="0.3">
      <c r="A207" s="2" t="s">
        <v>1048</v>
      </c>
      <c r="B207" s="2" t="s">
        <v>1049</v>
      </c>
      <c r="C207" s="2" t="s">
        <v>1050</v>
      </c>
      <c r="D207" s="2" t="s">
        <v>1051</v>
      </c>
      <c r="E207" s="2">
        <v>1</v>
      </c>
      <c r="F207" s="2">
        <v>1</v>
      </c>
      <c r="G207" s="2">
        <v>0</v>
      </c>
      <c r="H207" s="8" t="s">
        <v>138</v>
      </c>
      <c r="R207" s="9">
        <v>135</v>
      </c>
      <c r="S207" s="6">
        <f>R207</f>
        <v>135</v>
      </c>
    </row>
    <row r="208" spans="1:19" ht="15" customHeight="1" x14ac:dyDescent="0.3">
      <c r="A208" s="2" t="s">
        <v>1052</v>
      </c>
      <c r="B208" s="2" t="s">
        <v>1053</v>
      </c>
      <c r="C208" s="2" t="s">
        <v>1054</v>
      </c>
      <c r="D208" s="2" t="s">
        <v>1051</v>
      </c>
      <c r="E208" s="2">
        <v>1</v>
      </c>
      <c r="F208" s="2">
        <v>0</v>
      </c>
      <c r="G208" s="2">
        <v>0</v>
      </c>
      <c r="H208" s="2" t="s">
        <v>49</v>
      </c>
      <c r="I208" s="2" t="s">
        <v>1053</v>
      </c>
      <c r="J208" s="2" t="s">
        <v>1055</v>
      </c>
      <c r="K208" s="2" t="s">
        <v>1056</v>
      </c>
      <c r="L208" s="4">
        <v>15.5</v>
      </c>
      <c r="M208" s="5">
        <v>5.6</v>
      </c>
      <c r="N208" s="6">
        <f>L208*M208</f>
        <v>86.8</v>
      </c>
      <c r="O208" s="2" t="s">
        <v>51</v>
      </c>
      <c r="P208" s="7">
        <v>9.6774200000000005E-2</v>
      </c>
      <c r="S208" s="6">
        <f>IF(N208&lt;&gt;"",N208,"")</f>
        <v>86.8</v>
      </c>
    </row>
    <row r="209" spans="1:19" ht="15" customHeight="1" x14ac:dyDescent="0.3">
      <c r="A209" s="2" t="s">
        <v>1057</v>
      </c>
      <c r="B209" s="2" t="s">
        <v>1058</v>
      </c>
      <c r="C209" s="2" t="s">
        <v>1059</v>
      </c>
      <c r="D209" s="2" t="s">
        <v>1051</v>
      </c>
      <c r="E209" s="2">
        <v>1</v>
      </c>
      <c r="F209" s="2">
        <v>0</v>
      </c>
      <c r="G209" s="2">
        <v>0</v>
      </c>
      <c r="H209" s="8" t="s">
        <v>67</v>
      </c>
      <c r="I209" s="2" t="s">
        <v>1060</v>
      </c>
      <c r="J209" s="2" t="s">
        <v>1057</v>
      </c>
      <c r="R209" s="9">
        <v>135</v>
      </c>
      <c r="S209" s="6">
        <f>R209</f>
        <v>135</v>
      </c>
    </row>
    <row r="210" spans="1:19" ht="15" customHeight="1" x14ac:dyDescent="0.3">
      <c r="A210" s="2" t="s">
        <v>1061</v>
      </c>
      <c r="B210" s="2" t="s">
        <v>1062</v>
      </c>
      <c r="C210" s="2" t="s">
        <v>1063</v>
      </c>
      <c r="D210" s="2" t="s">
        <v>1056</v>
      </c>
      <c r="E210" s="2">
        <v>1</v>
      </c>
      <c r="F210" s="2">
        <v>0</v>
      </c>
      <c r="G210" s="2">
        <v>1</v>
      </c>
      <c r="H210" s="2" t="s">
        <v>49</v>
      </c>
      <c r="I210" s="2" t="s">
        <v>1062</v>
      </c>
      <c r="J210" s="2" t="s">
        <v>1064</v>
      </c>
      <c r="K210" s="2" t="s">
        <v>1051</v>
      </c>
      <c r="L210" s="4">
        <v>13</v>
      </c>
      <c r="M210" s="5">
        <v>1.26</v>
      </c>
      <c r="N210" s="6">
        <f>L210*M210</f>
        <v>16.38</v>
      </c>
      <c r="O210" s="2" t="s">
        <v>51</v>
      </c>
      <c r="P210" s="7">
        <v>-0.38461499999999998</v>
      </c>
      <c r="S210" s="6">
        <f>IF(N210&lt;&gt;"",N210,"")</f>
        <v>16.38</v>
      </c>
    </row>
    <row r="211" spans="1:19" ht="15" customHeight="1" x14ac:dyDescent="0.3">
      <c r="A211" s="2" t="s">
        <v>1065</v>
      </c>
      <c r="B211" s="2" t="s">
        <v>1066</v>
      </c>
      <c r="C211" s="2" t="s">
        <v>1067</v>
      </c>
      <c r="D211" s="2" t="s">
        <v>1068</v>
      </c>
      <c r="E211" s="2">
        <v>2</v>
      </c>
      <c r="F211" s="2">
        <v>0</v>
      </c>
      <c r="G211" s="2">
        <v>0</v>
      </c>
      <c r="H211" s="2" t="s">
        <v>5</v>
      </c>
      <c r="I211" s="2" t="s">
        <v>1069</v>
      </c>
      <c r="J211" s="2" t="s">
        <v>1070</v>
      </c>
      <c r="K211" s="2" t="s">
        <v>1071</v>
      </c>
      <c r="N211" s="6">
        <v>4900</v>
      </c>
      <c r="O211" s="2" t="s">
        <v>521</v>
      </c>
      <c r="Q211" s="2" t="s">
        <v>1072</v>
      </c>
      <c r="S211" s="6">
        <f>IF(N211&lt;&gt;"",N211,"")</f>
        <v>4900</v>
      </c>
    </row>
    <row r="212" spans="1:19" ht="15" customHeight="1" x14ac:dyDescent="0.3">
      <c r="A212" s="2" t="s">
        <v>1073</v>
      </c>
      <c r="B212" s="2" t="s">
        <v>1074</v>
      </c>
      <c r="C212" s="2" t="s">
        <v>1075</v>
      </c>
      <c r="D212" s="2" t="s">
        <v>1068</v>
      </c>
      <c r="E212" s="2">
        <v>1</v>
      </c>
      <c r="F212" s="2">
        <v>1</v>
      </c>
      <c r="G212" s="2">
        <v>0</v>
      </c>
      <c r="H212" s="2" t="s">
        <v>49</v>
      </c>
      <c r="I212" s="2" t="s">
        <v>1076</v>
      </c>
      <c r="J212" s="2" t="s">
        <v>1077</v>
      </c>
      <c r="K212" s="2" t="s">
        <v>1068</v>
      </c>
      <c r="L212" s="4">
        <v>10</v>
      </c>
      <c r="M212" s="5">
        <v>4.5</v>
      </c>
      <c r="N212" s="6">
        <f>L212*M212</f>
        <v>45</v>
      </c>
      <c r="O212" s="2" t="s">
        <v>51</v>
      </c>
      <c r="P212" s="7">
        <v>3.1250000000000002E-3</v>
      </c>
      <c r="S212" s="6">
        <f>IF(N212&lt;&gt;"",N212,"")</f>
        <v>45</v>
      </c>
    </row>
    <row r="213" spans="1:19" ht="15" customHeight="1" x14ac:dyDescent="0.3">
      <c r="A213" s="2" t="s">
        <v>1078</v>
      </c>
      <c r="B213" s="2" t="s">
        <v>1079</v>
      </c>
      <c r="C213" s="2" t="s">
        <v>1080</v>
      </c>
      <c r="D213" s="2" t="s">
        <v>1081</v>
      </c>
      <c r="E213" s="2">
        <v>1</v>
      </c>
      <c r="F213" s="2">
        <v>1</v>
      </c>
      <c r="G213" s="2">
        <v>0</v>
      </c>
      <c r="H213" s="2" t="s">
        <v>49</v>
      </c>
      <c r="I213" s="2" t="s">
        <v>1082</v>
      </c>
      <c r="J213" s="2" t="s">
        <v>1083</v>
      </c>
      <c r="K213" s="2" t="s">
        <v>1071</v>
      </c>
      <c r="L213" s="4">
        <v>20</v>
      </c>
      <c r="M213" s="5">
        <v>10</v>
      </c>
      <c r="N213" s="6">
        <f>L213*M213</f>
        <v>200</v>
      </c>
      <c r="O213" s="2" t="s">
        <v>51</v>
      </c>
      <c r="P213" s="7">
        <v>0.35</v>
      </c>
      <c r="S213" s="6">
        <f>IF(N213&lt;&gt;"",N213,"")</f>
        <v>200</v>
      </c>
    </row>
    <row r="214" spans="1:19" ht="15" customHeight="1" x14ac:dyDescent="0.3">
      <c r="A214" s="2" t="s">
        <v>1084</v>
      </c>
      <c r="B214" s="2" t="s">
        <v>1085</v>
      </c>
      <c r="C214" s="2" t="s">
        <v>1086</v>
      </c>
      <c r="D214" s="2" t="s">
        <v>1071</v>
      </c>
      <c r="E214" s="2">
        <v>1</v>
      </c>
      <c r="F214" s="2">
        <v>1</v>
      </c>
      <c r="G214" s="2">
        <v>0</v>
      </c>
      <c r="H214" s="2" t="s">
        <v>49</v>
      </c>
      <c r="I214" s="2" t="s">
        <v>1085</v>
      </c>
      <c r="J214" s="2" t="s">
        <v>1087</v>
      </c>
      <c r="K214" s="2" t="s">
        <v>1071</v>
      </c>
      <c r="L214" s="4">
        <v>6</v>
      </c>
      <c r="M214" s="5">
        <v>5</v>
      </c>
      <c r="N214" s="6">
        <f>L214*M214</f>
        <v>30</v>
      </c>
      <c r="O214" s="2" t="s">
        <v>51</v>
      </c>
      <c r="P214" s="7">
        <v>4.1666700000000001E-2</v>
      </c>
      <c r="S214" s="6">
        <f>IF(N214&lt;&gt;"",N214,"")</f>
        <v>30</v>
      </c>
    </row>
    <row r="215" spans="1:19" ht="15" customHeight="1" x14ac:dyDescent="0.3">
      <c r="A215" s="2" t="s">
        <v>1088</v>
      </c>
      <c r="B215" s="2" t="s">
        <v>1089</v>
      </c>
      <c r="C215" s="2" t="s">
        <v>1090</v>
      </c>
      <c r="D215" s="2" t="s">
        <v>1091</v>
      </c>
      <c r="E215" s="2">
        <v>1</v>
      </c>
      <c r="F215" s="2">
        <v>1</v>
      </c>
      <c r="G215" s="2">
        <v>0</v>
      </c>
      <c r="H215" s="8" t="s">
        <v>67</v>
      </c>
      <c r="I215" s="2" t="s">
        <v>1092</v>
      </c>
      <c r="J215" s="2" t="s">
        <v>1093</v>
      </c>
      <c r="K215" s="2" t="s">
        <v>1091</v>
      </c>
      <c r="R215" s="9">
        <v>135</v>
      </c>
      <c r="S215" s="6">
        <f>R215</f>
        <v>135</v>
      </c>
    </row>
    <row r="216" spans="1:19" ht="15" customHeight="1" x14ac:dyDescent="0.3">
      <c r="A216" s="2" t="s">
        <v>1094</v>
      </c>
      <c r="B216" s="2" t="s">
        <v>1095</v>
      </c>
      <c r="C216" s="2" t="s">
        <v>1096</v>
      </c>
      <c r="D216" s="2" t="s">
        <v>1091</v>
      </c>
      <c r="E216" s="2">
        <v>1</v>
      </c>
      <c r="F216" s="2">
        <v>1</v>
      </c>
      <c r="G216" s="2">
        <v>1</v>
      </c>
      <c r="H216" s="2" t="s">
        <v>49</v>
      </c>
      <c r="I216" s="2" t="s">
        <v>1097</v>
      </c>
      <c r="J216" s="2" t="s">
        <v>1098</v>
      </c>
      <c r="K216" s="2" t="s">
        <v>1099</v>
      </c>
      <c r="L216" s="4">
        <v>15</v>
      </c>
      <c r="M216" s="5">
        <v>4</v>
      </c>
      <c r="N216" s="6">
        <f t="shared" ref="N216:N225" si="17">L216*M216</f>
        <v>60</v>
      </c>
      <c r="O216" s="2" t="s">
        <v>51</v>
      </c>
      <c r="P216" s="7">
        <v>1.2</v>
      </c>
      <c r="S216" s="6">
        <f t="shared" ref="S216:S225" si="18">IF(N216&lt;&gt;"",N216,"")</f>
        <v>60</v>
      </c>
    </row>
    <row r="217" spans="1:19" ht="15" customHeight="1" x14ac:dyDescent="0.3">
      <c r="A217" s="2" t="s">
        <v>1100</v>
      </c>
      <c r="B217" s="2" t="s">
        <v>1101</v>
      </c>
      <c r="C217" s="2" t="s">
        <v>1102</v>
      </c>
      <c r="D217" s="2" t="s">
        <v>1099</v>
      </c>
      <c r="E217" s="2">
        <v>1</v>
      </c>
      <c r="F217" s="2">
        <v>0</v>
      </c>
      <c r="G217" s="2">
        <v>0</v>
      </c>
      <c r="H217" s="2" t="s">
        <v>49</v>
      </c>
      <c r="I217" s="2" t="s">
        <v>1101</v>
      </c>
      <c r="J217" s="2" t="s">
        <v>1103</v>
      </c>
      <c r="K217" s="2" t="s">
        <v>1099</v>
      </c>
      <c r="L217" s="4">
        <v>7</v>
      </c>
      <c r="M217" s="5">
        <v>2.5</v>
      </c>
      <c r="N217" s="6">
        <f t="shared" si="17"/>
        <v>17.5</v>
      </c>
      <c r="O217" s="2" t="s">
        <v>51</v>
      </c>
      <c r="P217" s="7">
        <v>8.0357100000000001E-2</v>
      </c>
      <c r="S217" s="6">
        <f t="shared" si="18"/>
        <v>17.5</v>
      </c>
    </row>
    <row r="218" spans="1:19" ht="15" customHeight="1" x14ac:dyDescent="0.3">
      <c r="A218" s="2" t="s">
        <v>1104</v>
      </c>
      <c r="B218" s="2" t="s">
        <v>1105</v>
      </c>
      <c r="C218" s="2" t="s">
        <v>1106</v>
      </c>
      <c r="D218" s="2" t="s">
        <v>1099</v>
      </c>
      <c r="E218" s="2">
        <v>1</v>
      </c>
      <c r="F218" s="2">
        <v>0</v>
      </c>
      <c r="G218" s="2">
        <v>0</v>
      </c>
      <c r="H218" s="2" t="s">
        <v>49</v>
      </c>
      <c r="I218" s="2" t="s">
        <v>1105</v>
      </c>
      <c r="J218" s="2" t="s">
        <v>1107</v>
      </c>
      <c r="K218" s="2" t="s">
        <v>1099</v>
      </c>
      <c r="L218" s="4">
        <v>16</v>
      </c>
      <c r="M218" s="5">
        <v>14</v>
      </c>
      <c r="N218" s="6">
        <f t="shared" si="17"/>
        <v>224</v>
      </c>
      <c r="O218" s="2" t="s">
        <v>51</v>
      </c>
      <c r="P218" s="7">
        <v>0.21875</v>
      </c>
      <c r="S218" s="6">
        <f t="shared" si="18"/>
        <v>224</v>
      </c>
    </row>
    <row r="219" spans="1:19" ht="15" customHeight="1" x14ac:dyDescent="0.3">
      <c r="A219" s="2" t="s">
        <v>1108</v>
      </c>
      <c r="B219" s="2" t="s">
        <v>1109</v>
      </c>
      <c r="C219" s="2" t="s">
        <v>1110</v>
      </c>
      <c r="D219" s="2" t="s">
        <v>1099</v>
      </c>
      <c r="E219" s="2">
        <v>1</v>
      </c>
      <c r="F219" s="2">
        <v>0</v>
      </c>
      <c r="G219" s="2">
        <v>0</v>
      </c>
      <c r="H219" s="2" t="s">
        <v>49</v>
      </c>
      <c r="I219" s="2" t="s">
        <v>1109</v>
      </c>
      <c r="J219" s="2" t="s">
        <v>1111</v>
      </c>
      <c r="K219" s="2" t="s">
        <v>1099</v>
      </c>
      <c r="L219" s="4">
        <v>16</v>
      </c>
      <c r="M219" s="5">
        <v>11</v>
      </c>
      <c r="N219" s="6">
        <f t="shared" si="17"/>
        <v>176</v>
      </c>
      <c r="O219" s="2" t="s">
        <v>51</v>
      </c>
      <c r="P219" s="7">
        <v>0.296875</v>
      </c>
      <c r="S219" s="6">
        <f t="shared" si="18"/>
        <v>176</v>
      </c>
    </row>
    <row r="220" spans="1:19" ht="15" customHeight="1" x14ac:dyDescent="0.3">
      <c r="A220" s="2" t="s">
        <v>1112</v>
      </c>
      <c r="B220" s="2" t="s">
        <v>1113</v>
      </c>
      <c r="C220" s="2" t="s">
        <v>1114</v>
      </c>
      <c r="D220" s="2" t="s">
        <v>1115</v>
      </c>
      <c r="E220" s="2">
        <v>1</v>
      </c>
      <c r="F220" s="2">
        <v>1</v>
      </c>
      <c r="G220" s="2">
        <v>1</v>
      </c>
      <c r="H220" s="2" t="s">
        <v>49</v>
      </c>
      <c r="I220" s="2" t="s">
        <v>1113</v>
      </c>
      <c r="J220" s="2" t="s">
        <v>1116</v>
      </c>
      <c r="K220" s="2" t="s">
        <v>1117</v>
      </c>
      <c r="L220" s="4">
        <v>10</v>
      </c>
      <c r="M220" s="5">
        <v>5</v>
      </c>
      <c r="N220" s="6">
        <f t="shared" si="17"/>
        <v>50</v>
      </c>
      <c r="O220" s="2" t="s">
        <v>51</v>
      </c>
      <c r="P220" s="7">
        <v>0.4</v>
      </c>
      <c r="S220" s="6">
        <f t="shared" si="18"/>
        <v>50</v>
      </c>
    </row>
    <row r="221" spans="1:19" ht="15" customHeight="1" x14ac:dyDescent="0.3">
      <c r="A221" s="2" t="s">
        <v>1118</v>
      </c>
      <c r="B221" s="2" t="s">
        <v>1119</v>
      </c>
      <c r="C221" s="2" t="s">
        <v>1120</v>
      </c>
      <c r="D221" s="2" t="s">
        <v>1115</v>
      </c>
      <c r="E221" s="2">
        <v>1</v>
      </c>
      <c r="F221" s="2">
        <v>0</v>
      </c>
      <c r="G221" s="2">
        <v>0</v>
      </c>
      <c r="H221" s="2" t="s">
        <v>49</v>
      </c>
      <c r="I221" s="2" t="s">
        <v>1121</v>
      </c>
      <c r="J221" s="2" t="s">
        <v>1122</v>
      </c>
      <c r="K221" s="2" t="s">
        <v>1117</v>
      </c>
      <c r="L221" s="4">
        <v>13</v>
      </c>
      <c r="M221" s="5">
        <v>5.5</v>
      </c>
      <c r="N221" s="6">
        <f t="shared" si="17"/>
        <v>71.5</v>
      </c>
      <c r="O221" s="2" t="s">
        <v>51</v>
      </c>
      <c r="P221" s="7">
        <v>2.4038499999999999E-3</v>
      </c>
      <c r="S221" s="6">
        <f t="shared" si="18"/>
        <v>71.5</v>
      </c>
    </row>
    <row r="222" spans="1:19" ht="15" customHeight="1" x14ac:dyDescent="0.3">
      <c r="A222" s="2" t="s">
        <v>1123</v>
      </c>
      <c r="B222" s="2" t="s">
        <v>1124</v>
      </c>
      <c r="C222" s="2" t="s">
        <v>1125</v>
      </c>
      <c r="D222" s="2" t="s">
        <v>1115</v>
      </c>
      <c r="E222" s="2">
        <v>1</v>
      </c>
      <c r="F222" s="2">
        <v>1</v>
      </c>
      <c r="G222" s="2">
        <v>0</v>
      </c>
      <c r="H222" s="2" t="s">
        <v>49</v>
      </c>
      <c r="I222" s="2" t="s">
        <v>1126</v>
      </c>
      <c r="J222" s="2" t="s">
        <v>1127</v>
      </c>
      <c r="K222" s="2" t="s">
        <v>1117</v>
      </c>
      <c r="L222" s="4">
        <v>15</v>
      </c>
      <c r="M222" s="5">
        <v>6</v>
      </c>
      <c r="N222" s="6">
        <f t="shared" si="17"/>
        <v>90</v>
      </c>
      <c r="O222" s="2" t="s">
        <v>51</v>
      </c>
      <c r="P222" s="7">
        <v>2.1666699999999999</v>
      </c>
      <c r="S222" s="6">
        <f t="shared" si="18"/>
        <v>90</v>
      </c>
    </row>
    <row r="223" spans="1:19" ht="15" customHeight="1" x14ac:dyDescent="0.3">
      <c r="A223" s="2" t="s">
        <v>1128</v>
      </c>
      <c r="B223" s="2" t="s">
        <v>1129</v>
      </c>
      <c r="C223" s="2" t="s">
        <v>1130</v>
      </c>
      <c r="D223" s="2" t="s">
        <v>1115</v>
      </c>
      <c r="E223" s="2">
        <v>1</v>
      </c>
      <c r="F223" s="2">
        <v>0</v>
      </c>
      <c r="G223" s="2">
        <v>0</v>
      </c>
      <c r="H223" s="2" t="s">
        <v>49</v>
      </c>
      <c r="I223" s="2" t="s">
        <v>1129</v>
      </c>
      <c r="J223" s="2" t="s">
        <v>1131</v>
      </c>
      <c r="K223" s="2" t="s">
        <v>1117</v>
      </c>
      <c r="L223" s="4">
        <v>21</v>
      </c>
      <c r="M223" s="5">
        <v>8.75</v>
      </c>
      <c r="N223" s="6">
        <f t="shared" si="17"/>
        <v>183.75</v>
      </c>
      <c r="O223" s="2" t="s">
        <v>51</v>
      </c>
      <c r="P223" s="7">
        <v>1.3809499999999999</v>
      </c>
      <c r="S223" s="6">
        <f t="shared" si="18"/>
        <v>183.75</v>
      </c>
    </row>
    <row r="224" spans="1:19" ht="15" customHeight="1" x14ac:dyDescent="0.3">
      <c r="A224" s="2" t="s">
        <v>1132</v>
      </c>
      <c r="B224" s="2" t="s">
        <v>1133</v>
      </c>
      <c r="C224" s="2" t="s">
        <v>1134</v>
      </c>
      <c r="D224" s="2" t="s">
        <v>1117</v>
      </c>
      <c r="E224" s="2">
        <v>1</v>
      </c>
      <c r="F224" s="2">
        <v>0</v>
      </c>
      <c r="G224" s="2">
        <v>1</v>
      </c>
      <c r="H224" s="2" t="s">
        <v>49</v>
      </c>
      <c r="I224" s="2" t="s">
        <v>1133</v>
      </c>
      <c r="J224" s="2" t="s">
        <v>1135</v>
      </c>
      <c r="K224" s="2" t="s">
        <v>1115</v>
      </c>
      <c r="L224" s="4">
        <v>5</v>
      </c>
      <c r="M224" s="5">
        <v>2.5</v>
      </c>
      <c r="N224" s="6">
        <f t="shared" si="17"/>
        <v>12.5</v>
      </c>
      <c r="O224" s="2" t="s">
        <v>51</v>
      </c>
      <c r="P224" s="7">
        <v>0.21249999999999999</v>
      </c>
      <c r="S224" s="6">
        <f t="shared" si="18"/>
        <v>12.5</v>
      </c>
    </row>
    <row r="225" spans="1:19" ht="15" customHeight="1" x14ac:dyDescent="0.3">
      <c r="A225" s="2" t="s">
        <v>1136</v>
      </c>
      <c r="B225" s="2" t="s">
        <v>1137</v>
      </c>
      <c r="C225" s="2" t="s">
        <v>1138</v>
      </c>
      <c r="D225" s="2" t="s">
        <v>1117</v>
      </c>
      <c r="E225" s="2">
        <v>1</v>
      </c>
      <c r="F225" s="2">
        <v>0</v>
      </c>
      <c r="G225" s="2">
        <v>1</v>
      </c>
      <c r="H225" s="2" t="s">
        <v>49</v>
      </c>
      <c r="I225" s="2" t="s">
        <v>1139</v>
      </c>
      <c r="J225" s="2" t="s">
        <v>1140</v>
      </c>
      <c r="K225" s="2" t="s">
        <v>1141</v>
      </c>
      <c r="L225" s="4">
        <v>11</v>
      </c>
      <c r="M225" s="5">
        <v>173.91300000000001</v>
      </c>
      <c r="N225" s="6">
        <f t="shared" si="17"/>
        <v>1913.0430000000001</v>
      </c>
      <c r="O225" s="2" t="s">
        <v>51</v>
      </c>
      <c r="P225" s="7">
        <v>-2.2727299999999999E-2</v>
      </c>
      <c r="S225" s="6">
        <f t="shared" si="18"/>
        <v>1913.0430000000001</v>
      </c>
    </row>
    <row r="226" spans="1:19" ht="15" customHeight="1" x14ac:dyDescent="0.3">
      <c r="A226" s="2" t="s">
        <v>1142</v>
      </c>
      <c r="B226" s="2" t="s">
        <v>1143</v>
      </c>
      <c r="C226" s="2" t="s">
        <v>1144</v>
      </c>
      <c r="D226" s="2" t="s">
        <v>1141</v>
      </c>
      <c r="E226" s="2">
        <v>1</v>
      </c>
      <c r="F226" s="2">
        <v>1</v>
      </c>
      <c r="G226" s="2">
        <v>0</v>
      </c>
      <c r="H226" s="8" t="s">
        <v>138</v>
      </c>
      <c r="R226" s="9">
        <v>135</v>
      </c>
      <c r="S226" s="6">
        <f>R226</f>
        <v>135</v>
      </c>
    </row>
    <row r="227" spans="1:19" ht="15" customHeight="1" x14ac:dyDescent="0.3">
      <c r="A227" s="2" t="s">
        <v>1145</v>
      </c>
      <c r="B227" s="2" t="s">
        <v>1146</v>
      </c>
      <c r="C227" s="2" t="s">
        <v>1147</v>
      </c>
      <c r="D227" s="2" t="s">
        <v>1141</v>
      </c>
      <c r="E227" s="2">
        <v>1</v>
      </c>
      <c r="F227" s="2">
        <v>1</v>
      </c>
      <c r="G227" s="2">
        <v>0</v>
      </c>
      <c r="H227" s="2" t="s">
        <v>49</v>
      </c>
      <c r="I227" s="2" t="s">
        <v>1148</v>
      </c>
      <c r="J227" s="2" t="s">
        <v>1149</v>
      </c>
      <c r="K227" s="2" t="s">
        <v>1150</v>
      </c>
      <c r="L227" s="4">
        <v>16</v>
      </c>
      <c r="M227" s="5">
        <v>9.0909099999999992</v>
      </c>
      <c r="N227" s="6">
        <f>L227*M227</f>
        <v>145.45455999999999</v>
      </c>
      <c r="O227" s="2" t="s">
        <v>51</v>
      </c>
      <c r="P227" s="7">
        <v>0.71093799999999996</v>
      </c>
      <c r="S227" s="6">
        <f>IF(N227&lt;&gt;"",N227,"")</f>
        <v>145.45455999999999</v>
      </c>
    </row>
    <row r="228" spans="1:19" ht="15" customHeight="1" x14ac:dyDescent="0.3">
      <c r="A228" s="2" t="s">
        <v>1151</v>
      </c>
      <c r="B228" s="2" t="s">
        <v>1152</v>
      </c>
      <c r="C228" s="2" t="s">
        <v>1153</v>
      </c>
      <c r="D228" s="2" t="s">
        <v>1141</v>
      </c>
      <c r="E228" s="2">
        <v>1</v>
      </c>
      <c r="F228" s="2">
        <v>1</v>
      </c>
      <c r="G228" s="2">
        <v>1</v>
      </c>
      <c r="H228" s="2" t="s">
        <v>49</v>
      </c>
      <c r="I228" s="2" t="s">
        <v>1154</v>
      </c>
      <c r="J228" s="2" t="s">
        <v>1155</v>
      </c>
      <c r="K228" s="2" t="s">
        <v>1150</v>
      </c>
      <c r="L228" s="4">
        <v>12</v>
      </c>
      <c r="M228" s="5">
        <v>4</v>
      </c>
      <c r="N228" s="6">
        <f>L228*M228</f>
        <v>48</v>
      </c>
      <c r="O228" s="2" t="s">
        <v>51</v>
      </c>
      <c r="P228" s="7">
        <v>-6.25E-2</v>
      </c>
      <c r="S228" s="6">
        <f>IF(N228&lt;&gt;"",N228,"")</f>
        <v>48</v>
      </c>
    </row>
    <row r="229" spans="1:19" ht="15" customHeight="1" x14ac:dyDescent="0.3">
      <c r="A229" s="2" t="s">
        <v>1156</v>
      </c>
      <c r="B229" s="2" t="s">
        <v>1157</v>
      </c>
      <c r="C229" s="2" t="s">
        <v>1158</v>
      </c>
      <c r="D229" s="2" t="s">
        <v>1141</v>
      </c>
      <c r="E229" s="2">
        <v>1</v>
      </c>
      <c r="F229" s="2">
        <v>1</v>
      </c>
      <c r="G229" s="2">
        <v>1</v>
      </c>
      <c r="H229" s="2" t="s">
        <v>49</v>
      </c>
      <c r="I229" s="2" t="s">
        <v>1159</v>
      </c>
      <c r="J229" s="2" t="s">
        <v>1160</v>
      </c>
      <c r="K229" s="2" t="s">
        <v>1150</v>
      </c>
      <c r="L229" s="4">
        <v>11</v>
      </c>
      <c r="M229" s="5">
        <v>3.5</v>
      </c>
      <c r="N229" s="6">
        <f>L229*M229</f>
        <v>38.5</v>
      </c>
      <c r="O229" s="2" t="s">
        <v>51</v>
      </c>
      <c r="P229" s="7">
        <v>0.31818200000000002</v>
      </c>
      <c r="S229" s="6">
        <f>IF(N229&lt;&gt;"",N229,"")</f>
        <v>38.5</v>
      </c>
    </row>
    <row r="230" spans="1:19" ht="15" customHeight="1" x14ac:dyDescent="0.3">
      <c r="A230" s="2" t="s">
        <v>1161</v>
      </c>
      <c r="B230" s="2" t="s">
        <v>1162</v>
      </c>
      <c r="C230" s="2" t="s">
        <v>1163</v>
      </c>
      <c r="D230" s="2" t="s">
        <v>1150</v>
      </c>
      <c r="E230" s="2">
        <v>1</v>
      </c>
      <c r="F230" s="2">
        <v>1</v>
      </c>
      <c r="G230" s="2">
        <v>1</v>
      </c>
      <c r="H230" s="2" t="s">
        <v>49</v>
      </c>
      <c r="I230" s="2" t="s">
        <v>1164</v>
      </c>
      <c r="J230" s="2" t="s">
        <v>1165</v>
      </c>
      <c r="K230" s="2" t="s">
        <v>1150</v>
      </c>
      <c r="L230" s="4">
        <v>27</v>
      </c>
      <c r="M230" s="5">
        <v>9</v>
      </c>
      <c r="N230" s="6">
        <f>L230*M230</f>
        <v>243</v>
      </c>
      <c r="O230" s="2" t="s">
        <v>51</v>
      </c>
      <c r="P230" s="7">
        <v>2.40741</v>
      </c>
      <c r="S230" s="6">
        <f>IF(N230&lt;&gt;"",N230,"")</f>
        <v>243</v>
      </c>
    </row>
    <row r="231" spans="1:19" ht="15" customHeight="1" x14ac:dyDescent="0.3">
      <c r="A231" s="2" t="s">
        <v>1166</v>
      </c>
      <c r="B231" s="2" t="s">
        <v>1167</v>
      </c>
      <c r="C231" s="2" t="s">
        <v>1168</v>
      </c>
      <c r="D231" s="2" t="s">
        <v>1150</v>
      </c>
      <c r="E231" s="2">
        <v>1</v>
      </c>
      <c r="F231" s="2">
        <v>1</v>
      </c>
      <c r="G231" s="2">
        <v>0</v>
      </c>
      <c r="H231" s="8" t="s">
        <v>67</v>
      </c>
      <c r="I231" s="2" t="s">
        <v>1169</v>
      </c>
      <c r="J231" s="2" t="s">
        <v>1166</v>
      </c>
      <c r="K231" s="2" t="s">
        <v>1170</v>
      </c>
      <c r="R231" s="9">
        <v>135</v>
      </c>
      <c r="S231" s="6">
        <f>R231</f>
        <v>135</v>
      </c>
    </row>
    <row r="232" spans="1:19" ht="15" customHeight="1" x14ac:dyDescent="0.3">
      <c r="A232" s="2" t="s">
        <v>1171</v>
      </c>
      <c r="B232" s="2" t="s">
        <v>1172</v>
      </c>
      <c r="C232" s="2" t="s">
        <v>1173</v>
      </c>
      <c r="D232" s="2" t="s">
        <v>1150</v>
      </c>
      <c r="E232" s="2">
        <v>1</v>
      </c>
      <c r="F232" s="2">
        <v>0</v>
      </c>
      <c r="G232" s="2">
        <v>0</v>
      </c>
      <c r="H232" s="8" t="s">
        <v>67</v>
      </c>
      <c r="I232" s="2" t="s">
        <v>1174</v>
      </c>
      <c r="J232" s="2" t="s">
        <v>1175</v>
      </c>
      <c r="K232" s="2" t="s">
        <v>1170</v>
      </c>
      <c r="R232" s="9">
        <v>135</v>
      </c>
      <c r="S232" s="6">
        <f>R232</f>
        <v>135</v>
      </c>
    </row>
    <row r="233" spans="1:19" ht="15" customHeight="1" x14ac:dyDescent="0.3">
      <c r="A233" s="2" t="s">
        <v>1176</v>
      </c>
      <c r="B233" s="2" t="s">
        <v>1177</v>
      </c>
      <c r="C233" s="2" t="s">
        <v>1178</v>
      </c>
      <c r="D233" s="2" t="s">
        <v>1150</v>
      </c>
      <c r="E233" s="2">
        <v>2</v>
      </c>
      <c r="F233" s="2">
        <v>0</v>
      </c>
      <c r="G233" s="2">
        <v>0</v>
      </c>
      <c r="H233" s="2" t="s">
        <v>115</v>
      </c>
      <c r="I233" s="2" t="s">
        <v>1179</v>
      </c>
      <c r="J233" s="2" t="s">
        <v>1180</v>
      </c>
      <c r="K233" s="2" t="s">
        <v>1170</v>
      </c>
      <c r="S233" s="6" t="str">
        <f>IF(N233&lt;&gt;"",N233,"")</f>
        <v/>
      </c>
    </row>
    <row r="234" spans="1:19" ht="15" customHeight="1" x14ac:dyDescent="0.3">
      <c r="A234" s="2" t="s">
        <v>1181</v>
      </c>
      <c r="B234" s="2" t="s">
        <v>1182</v>
      </c>
      <c r="C234" s="2" t="s">
        <v>1183</v>
      </c>
      <c r="D234" s="2" t="s">
        <v>1170</v>
      </c>
      <c r="E234" s="2">
        <v>1</v>
      </c>
      <c r="F234" s="2">
        <v>1</v>
      </c>
      <c r="G234" s="2">
        <v>0</v>
      </c>
      <c r="H234" s="8" t="s">
        <v>67</v>
      </c>
      <c r="I234" s="2" t="s">
        <v>1184</v>
      </c>
      <c r="J234" s="2" t="s">
        <v>1185</v>
      </c>
      <c r="R234" s="9">
        <v>135</v>
      </c>
      <c r="S234" s="6">
        <f>R234</f>
        <v>135</v>
      </c>
    </row>
    <row r="235" spans="1:19" ht="15" customHeight="1" x14ac:dyDescent="0.3">
      <c r="A235" s="2" t="s">
        <v>1186</v>
      </c>
      <c r="B235" s="2" t="s">
        <v>1187</v>
      </c>
      <c r="C235" s="2" t="s">
        <v>1188</v>
      </c>
      <c r="D235" s="2" t="s">
        <v>1170</v>
      </c>
      <c r="E235" s="2">
        <v>2</v>
      </c>
      <c r="F235" s="2">
        <v>0</v>
      </c>
      <c r="G235" s="2">
        <v>1</v>
      </c>
      <c r="H235" s="2" t="s">
        <v>115</v>
      </c>
      <c r="I235" s="2" t="s">
        <v>1189</v>
      </c>
      <c r="J235" s="2" t="s">
        <v>1190</v>
      </c>
      <c r="K235" s="2" t="s">
        <v>1170</v>
      </c>
      <c r="S235" s="6" t="str">
        <f>IF(N235&lt;&gt;"",N235,"")</f>
        <v/>
      </c>
    </row>
    <row r="236" spans="1:19" ht="15" customHeight="1" x14ac:dyDescent="0.3">
      <c r="A236" s="2" t="s">
        <v>1191</v>
      </c>
      <c r="B236" s="2" t="s">
        <v>1192</v>
      </c>
      <c r="C236" s="2" t="s">
        <v>1193</v>
      </c>
      <c r="D236" s="2" t="s">
        <v>1194</v>
      </c>
      <c r="E236" s="2">
        <v>2</v>
      </c>
      <c r="F236" s="2">
        <v>1</v>
      </c>
      <c r="G236" s="2">
        <v>0</v>
      </c>
      <c r="H236" s="2" t="s">
        <v>115</v>
      </c>
      <c r="I236" s="2" t="s">
        <v>1195</v>
      </c>
      <c r="J236" s="2" t="s">
        <v>1196</v>
      </c>
      <c r="S236" s="6" t="str">
        <f>IF(N236&lt;&gt;"",N236,"")</f>
        <v/>
      </c>
    </row>
    <row r="237" spans="1:19" ht="15" customHeight="1" x14ac:dyDescent="0.3">
      <c r="A237" s="2" t="s">
        <v>1197</v>
      </c>
      <c r="B237" s="2" t="s">
        <v>1198</v>
      </c>
      <c r="C237" s="2" t="s">
        <v>1199</v>
      </c>
      <c r="D237" s="2" t="s">
        <v>1200</v>
      </c>
      <c r="E237" s="2">
        <v>1</v>
      </c>
      <c r="F237" s="2">
        <v>0</v>
      </c>
      <c r="G237" s="2">
        <v>0</v>
      </c>
      <c r="H237" s="2" t="s">
        <v>49</v>
      </c>
      <c r="I237" s="2" t="s">
        <v>1198</v>
      </c>
      <c r="J237" s="2" t="s">
        <v>1201</v>
      </c>
      <c r="K237" s="2" t="s">
        <v>1202</v>
      </c>
      <c r="L237" s="4">
        <v>22</v>
      </c>
      <c r="M237" s="5">
        <v>15.5</v>
      </c>
      <c r="N237" s="6">
        <f>L237*M237</f>
        <v>341</v>
      </c>
      <c r="O237" s="2" t="s">
        <v>51</v>
      </c>
      <c r="P237" s="7">
        <v>0.25</v>
      </c>
      <c r="S237" s="6">
        <f>IF(N237&lt;&gt;"",N237,"")</f>
        <v>341</v>
      </c>
    </row>
    <row r="238" spans="1:19" ht="15" customHeight="1" x14ac:dyDescent="0.3">
      <c r="A238" s="2" t="s">
        <v>1203</v>
      </c>
      <c r="B238" s="2" t="s">
        <v>1204</v>
      </c>
      <c r="C238" s="2" t="s">
        <v>1205</v>
      </c>
      <c r="D238" s="2" t="s">
        <v>1200</v>
      </c>
      <c r="E238" s="2">
        <v>1</v>
      </c>
      <c r="F238" s="2">
        <v>0</v>
      </c>
      <c r="G238" s="2">
        <v>0</v>
      </c>
      <c r="H238" s="2" t="s">
        <v>49</v>
      </c>
      <c r="I238" s="2" t="s">
        <v>1204</v>
      </c>
      <c r="J238" s="2" t="s">
        <v>1206</v>
      </c>
      <c r="K238" s="2" t="s">
        <v>1200</v>
      </c>
      <c r="L238" s="4">
        <v>11</v>
      </c>
      <c r="M238" s="5">
        <v>13</v>
      </c>
      <c r="N238" s="6">
        <f>L238*M238</f>
        <v>143</v>
      </c>
      <c r="O238" s="2" t="s">
        <v>51</v>
      </c>
      <c r="P238" s="7">
        <v>-1.13636E-2</v>
      </c>
      <c r="S238" s="6">
        <f>IF(N238&lt;&gt;"",N238,"")</f>
        <v>143</v>
      </c>
    </row>
    <row r="239" spans="1:19" ht="15" customHeight="1" x14ac:dyDescent="0.3">
      <c r="A239" s="2" t="s">
        <v>1207</v>
      </c>
      <c r="B239" s="2" t="s">
        <v>1208</v>
      </c>
      <c r="C239" s="2" t="s">
        <v>1209</v>
      </c>
      <c r="D239" s="2" t="s">
        <v>1200</v>
      </c>
      <c r="E239" s="2">
        <v>2</v>
      </c>
      <c r="F239" s="2">
        <v>0</v>
      </c>
      <c r="G239" s="2">
        <v>0</v>
      </c>
      <c r="H239" s="2" t="s">
        <v>115</v>
      </c>
      <c r="I239" s="2" t="s">
        <v>1210</v>
      </c>
      <c r="J239" s="2" t="s">
        <v>1211</v>
      </c>
      <c r="K239" s="2" t="s">
        <v>1202</v>
      </c>
      <c r="S239" s="6" t="str">
        <f>IF(N239&lt;&gt;"",N239,"")</f>
        <v/>
      </c>
    </row>
    <row r="240" spans="1:19" ht="15" customHeight="1" x14ac:dyDescent="0.3">
      <c r="A240" s="2" t="s">
        <v>1212</v>
      </c>
      <c r="B240" s="2" t="s">
        <v>1213</v>
      </c>
      <c r="C240" s="2" t="s">
        <v>1214</v>
      </c>
      <c r="D240" s="2" t="s">
        <v>1202</v>
      </c>
      <c r="E240" s="2">
        <v>1</v>
      </c>
      <c r="F240" s="2">
        <v>1</v>
      </c>
      <c r="G240" s="2">
        <v>1</v>
      </c>
      <c r="H240" s="8" t="s">
        <v>138</v>
      </c>
      <c r="R240" s="9">
        <v>135</v>
      </c>
      <c r="S240" s="6">
        <f>R240</f>
        <v>135</v>
      </c>
    </row>
    <row r="241" spans="1:19" ht="15" customHeight="1" x14ac:dyDescent="0.3">
      <c r="A241" s="2" t="s">
        <v>1215</v>
      </c>
      <c r="B241" s="2" t="s">
        <v>1216</v>
      </c>
      <c r="C241" s="2" t="s">
        <v>1217</v>
      </c>
      <c r="D241" s="2" t="s">
        <v>1202</v>
      </c>
      <c r="E241" s="2">
        <v>2</v>
      </c>
      <c r="F241" s="2">
        <v>0</v>
      </c>
      <c r="G241" s="2">
        <v>0</v>
      </c>
      <c r="H241" s="2" t="s">
        <v>373</v>
      </c>
      <c r="S241" s="6" t="str">
        <f>IF(N241&lt;&gt;"",N241,"")</f>
        <v/>
      </c>
    </row>
    <row r="242" spans="1:19" ht="15" customHeight="1" x14ac:dyDescent="0.3">
      <c r="A242" s="2" t="s">
        <v>1218</v>
      </c>
      <c r="B242" s="2" t="s">
        <v>1219</v>
      </c>
      <c r="C242" s="2" t="s">
        <v>1220</v>
      </c>
      <c r="D242" s="2" t="s">
        <v>1221</v>
      </c>
      <c r="E242" s="2">
        <v>1</v>
      </c>
      <c r="F242" s="2">
        <v>1</v>
      </c>
      <c r="G242" s="2">
        <v>1</v>
      </c>
      <c r="H242" s="2" t="s">
        <v>49</v>
      </c>
      <c r="I242" s="2" t="s">
        <v>1222</v>
      </c>
      <c r="J242" s="2" t="s">
        <v>1223</v>
      </c>
      <c r="K242" s="2" t="s">
        <v>1224</v>
      </c>
      <c r="L242" s="4">
        <v>15</v>
      </c>
      <c r="M242" s="5">
        <v>5.5</v>
      </c>
      <c r="N242" s="6">
        <f>L242*M242</f>
        <v>82.5</v>
      </c>
      <c r="O242" s="2" t="s">
        <v>51</v>
      </c>
      <c r="P242" s="7">
        <v>1.3333299999999999</v>
      </c>
      <c r="S242" s="6">
        <f>IF(N242&lt;&gt;"",N242,"")</f>
        <v>82.5</v>
      </c>
    </row>
    <row r="243" spans="1:19" ht="15" customHeight="1" x14ac:dyDescent="0.3">
      <c r="A243" s="2" t="s">
        <v>1225</v>
      </c>
      <c r="B243" s="2" t="s">
        <v>1226</v>
      </c>
      <c r="C243" s="2" t="s">
        <v>1227</v>
      </c>
      <c r="D243" s="2" t="s">
        <v>1221</v>
      </c>
      <c r="E243" s="2">
        <v>1</v>
      </c>
      <c r="F243" s="2">
        <v>0</v>
      </c>
      <c r="G243" s="2">
        <v>1</v>
      </c>
      <c r="H243" s="8" t="s">
        <v>138</v>
      </c>
      <c r="R243" s="9">
        <v>135</v>
      </c>
      <c r="S243" s="6">
        <f>R243</f>
        <v>135</v>
      </c>
    </row>
    <row r="244" spans="1:19" ht="15" customHeight="1" x14ac:dyDescent="0.3">
      <c r="A244" s="2" t="s">
        <v>1228</v>
      </c>
      <c r="B244" s="2" t="s">
        <v>1229</v>
      </c>
      <c r="C244" s="2" t="s">
        <v>1230</v>
      </c>
      <c r="D244" s="2" t="s">
        <v>1221</v>
      </c>
      <c r="E244" s="2">
        <v>1</v>
      </c>
      <c r="F244" s="2">
        <v>0</v>
      </c>
      <c r="G244" s="2">
        <v>1</v>
      </c>
      <c r="H244" s="2" t="s">
        <v>49</v>
      </c>
      <c r="I244" s="2" t="s">
        <v>1229</v>
      </c>
      <c r="J244" s="2" t="s">
        <v>1231</v>
      </c>
      <c r="K244" s="2" t="s">
        <v>1224</v>
      </c>
      <c r="L244" s="4">
        <v>15</v>
      </c>
      <c r="M244" s="5">
        <v>4</v>
      </c>
      <c r="N244" s="6">
        <f>L244*M244</f>
        <v>60</v>
      </c>
      <c r="O244" s="2" t="s">
        <v>51</v>
      </c>
      <c r="P244" s="7">
        <v>1.06667</v>
      </c>
      <c r="S244" s="6">
        <f>IF(N244&lt;&gt;"",N244,"")</f>
        <v>60</v>
      </c>
    </row>
    <row r="245" spans="1:19" ht="15" customHeight="1" x14ac:dyDescent="0.3">
      <c r="A245" s="2" t="s">
        <v>1232</v>
      </c>
      <c r="B245" s="2" t="s">
        <v>1233</v>
      </c>
      <c r="C245" s="2" t="s">
        <v>1234</v>
      </c>
      <c r="D245" s="2" t="s">
        <v>1224</v>
      </c>
      <c r="E245" s="2">
        <v>1</v>
      </c>
      <c r="F245" s="2">
        <v>1</v>
      </c>
      <c r="G245" s="2">
        <v>1</v>
      </c>
      <c r="H245" s="2" t="s">
        <v>49</v>
      </c>
      <c r="I245" s="2" t="s">
        <v>1233</v>
      </c>
      <c r="J245" s="2" t="s">
        <v>1235</v>
      </c>
      <c r="K245" s="2" t="s">
        <v>1224</v>
      </c>
      <c r="L245" s="4">
        <v>9</v>
      </c>
      <c r="M245" s="5">
        <v>7.5</v>
      </c>
      <c r="N245" s="6">
        <f>L245*M245</f>
        <v>67.5</v>
      </c>
      <c r="O245" s="2" t="s">
        <v>51</v>
      </c>
      <c r="P245" s="7">
        <v>3.4722199999999998E-3</v>
      </c>
      <c r="S245" s="6">
        <f>IF(N245&lt;&gt;"",N245,"")</f>
        <v>67.5</v>
      </c>
    </row>
    <row r="246" spans="1:19" ht="15" customHeight="1" x14ac:dyDescent="0.3">
      <c r="A246" s="2" t="s">
        <v>1236</v>
      </c>
      <c r="B246" s="2" t="s">
        <v>1237</v>
      </c>
      <c r="C246" s="2" t="s">
        <v>1238</v>
      </c>
      <c r="D246" s="2" t="s">
        <v>1224</v>
      </c>
      <c r="E246" s="2">
        <v>1</v>
      </c>
      <c r="F246" s="2">
        <v>1</v>
      </c>
      <c r="G246" s="2">
        <v>1</v>
      </c>
      <c r="H246" s="2" t="s">
        <v>49</v>
      </c>
      <c r="I246" s="2" t="s">
        <v>1239</v>
      </c>
      <c r="J246" s="2" t="s">
        <v>1240</v>
      </c>
      <c r="K246" s="2" t="s">
        <v>1224</v>
      </c>
      <c r="L246" s="4">
        <v>17</v>
      </c>
      <c r="M246" s="5">
        <v>6.5</v>
      </c>
      <c r="N246" s="6">
        <f>L246*M246</f>
        <v>110.5</v>
      </c>
      <c r="O246" s="2" t="s">
        <v>51</v>
      </c>
      <c r="P246" s="7">
        <v>0.64705900000000005</v>
      </c>
      <c r="S246" s="6">
        <f>IF(N246&lt;&gt;"",N246,"")</f>
        <v>110.5</v>
      </c>
    </row>
    <row r="247" spans="1:19" ht="15" customHeight="1" x14ac:dyDescent="0.3">
      <c r="A247" s="2" t="s">
        <v>1241</v>
      </c>
      <c r="B247" s="2" t="s">
        <v>1242</v>
      </c>
      <c r="C247" s="2" t="s">
        <v>1243</v>
      </c>
      <c r="D247" s="2" t="s">
        <v>1224</v>
      </c>
      <c r="E247" s="2">
        <v>1</v>
      </c>
      <c r="F247" s="2">
        <v>1</v>
      </c>
      <c r="G247" s="2">
        <v>0</v>
      </c>
      <c r="H247" s="2" t="s">
        <v>49</v>
      </c>
      <c r="I247" s="2" t="s">
        <v>1244</v>
      </c>
      <c r="J247" s="2" t="s">
        <v>1245</v>
      </c>
      <c r="K247" s="2" t="s">
        <v>1246</v>
      </c>
      <c r="L247" s="4">
        <v>12</v>
      </c>
      <c r="M247" s="5">
        <v>5</v>
      </c>
      <c r="N247" s="6">
        <f>L247*M247</f>
        <v>60</v>
      </c>
      <c r="O247" s="2" t="s">
        <v>51</v>
      </c>
      <c r="P247" s="7">
        <v>0.20833299999999999</v>
      </c>
      <c r="S247" s="6">
        <f>IF(N247&lt;&gt;"",N247,"")</f>
        <v>60</v>
      </c>
    </row>
    <row r="248" spans="1:19" ht="15" customHeight="1" x14ac:dyDescent="0.3">
      <c r="A248" s="2" t="s">
        <v>1247</v>
      </c>
      <c r="B248" s="2" t="s">
        <v>1248</v>
      </c>
      <c r="C248" s="2" t="s">
        <v>1249</v>
      </c>
      <c r="D248" s="2" t="s">
        <v>1246</v>
      </c>
      <c r="E248" s="2">
        <v>1</v>
      </c>
      <c r="F248" s="2">
        <v>0</v>
      </c>
      <c r="G248" s="2">
        <v>0</v>
      </c>
      <c r="H248" s="2" t="s">
        <v>49</v>
      </c>
      <c r="I248" s="2" t="s">
        <v>1248</v>
      </c>
      <c r="J248" s="2" t="s">
        <v>1250</v>
      </c>
      <c r="K248" s="2" t="s">
        <v>1246</v>
      </c>
      <c r="L248" s="4">
        <v>13</v>
      </c>
      <c r="M248" s="5">
        <v>5</v>
      </c>
      <c r="N248" s="6">
        <f>L248*M248</f>
        <v>65</v>
      </c>
      <c r="O248" s="2" t="s">
        <v>51</v>
      </c>
      <c r="P248" s="7">
        <v>1.0769200000000001</v>
      </c>
      <c r="S248" s="6">
        <f>IF(N248&lt;&gt;"",N248,"")</f>
        <v>65</v>
      </c>
    </row>
    <row r="249" spans="1:19" ht="15" customHeight="1" x14ac:dyDescent="0.3">
      <c r="A249" s="2" t="s">
        <v>1251</v>
      </c>
      <c r="B249" s="2" t="s">
        <v>1252</v>
      </c>
      <c r="C249" s="2" t="s">
        <v>1253</v>
      </c>
      <c r="D249" s="2" t="s">
        <v>1254</v>
      </c>
      <c r="E249" s="2">
        <v>1</v>
      </c>
      <c r="F249" s="2">
        <v>1</v>
      </c>
      <c r="G249" s="2">
        <v>0</v>
      </c>
      <c r="H249" s="8" t="s">
        <v>67</v>
      </c>
      <c r="I249" s="2" t="s">
        <v>1255</v>
      </c>
      <c r="J249" s="2" t="s">
        <v>1256</v>
      </c>
      <c r="R249" s="9">
        <v>135</v>
      </c>
      <c r="S249" s="6">
        <f>R249</f>
        <v>135</v>
      </c>
    </row>
    <row r="250" spans="1:19" ht="15" customHeight="1" x14ac:dyDescent="0.3">
      <c r="A250" s="2" t="s">
        <v>1257</v>
      </c>
      <c r="B250" s="2" t="s">
        <v>1258</v>
      </c>
      <c r="C250" s="2" t="s">
        <v>1259</v>
      </c>
      <c r="D250" s="2" t="s">
        <v>1254</v>
      </c>
      <c r="E250" s="2">
        <v>1</v>
      </c>
      <c r="F250" s="2">
        <v>1</v>
      </c>
      <c r="G250" s="2">
        <v>1</v>
      </c>
      <c r="H250" s="2" t="s">
        <v>49</v>
      </c>
      <c r="I250" s="2" t="s">
        <v>1258</v>
      </c>
      <c r="J250" s="2" t="s">
        <v>1260</v>
      </c>
      <c r="K250" s="2" t="s">
        <v>1261</v>
      </c>
      <c r="L250" s="4">
        <v>14</v>
      </c>
      <c r="M250" s="5">
        <v>4.25</v>
      </c>
      <c r="N250" s="6">
        <f t="shared" ref="N250:N257" si="19">L250*M250</f>
        <v>59.5</v>
      </c>
      <c r="O250" s="2" t="s">
        <v>51</v>
      </c>
      <c r="P250" s="7">
        <v>0.82142899999999996</v>
      </c>
      <c r="S250" s="6">
        <f t="shared" ref="S250:S260" si="20">IF(N250&lt;&gt;"",N250,"")</f>
        <v>59.5</v>
      </c>
    </row>
    <row r="251" spans="1:19" ht="15" customHeight="1" x14ac:dyDescent="0.3">
      <c r="A251" s="2" t="s">
        <v>1262</v>
      </c>
      <c r="B251" s="2" t="s">
        <v>1263</v>
      </c>
      <c r="C251" s="2" t="s">
        <v>1264</v>
      </c>
      <c r="D251" s="2" t="s">
        <v>1254</v>
      </c>
      <c r="E251" s="2">
        <v>1</v>
      </c>
      <c r="F251" s="2">
        <v>1</v>
      </c>
      <c r="G251" s="2">
        <v>0</v>
      </c>
      <c r="H251" s="2" t="s">
        <v>49</v>
      </c>
      <c r="I251" s="2" t="s">
        <v>1265</v>
      </c>
      <c r="J251" s="2" t="s">
        <v>1266</v>
      </c>
      <c r="K251" s="2" t="s">
        <v>1254</v>
      </c>
      <c r="L251" s="4">
        <v>15</v>
      </c>
      <c r="M251" s="5">
        <v>4.4800000000000004</v>
      </c>
      <c r="N251" s="6">
        <f t="shared" si="19"/>
        <v>67.2</v>
      </c>
      <c r="O251" s="2" t="s">
        <v>51</v>
      </c>
      <c r="P251" s="7">
        <v>0.466667</v>
      </c>
      <c r="S251" s="6">
        <f t="shared" si="20"/>
        <v>67.2</v>
      </c>
    </row>
    <row r="252" spans="1:19" ht="15" customHeight="1" x14ac:dyDescent="0.3">
      <c r="A252" s="2" t="s">
        <v>1267</v>
      </c>
      <c r="B252" s="2" t="s">
        <v>1268</v>
      </c>
      <c r="C252" s="2" t="s">
        <v>1269</v>
      </c>
      <c r="D252" s="2" t="s">
        <v>1261</v>
      </c>
      <c r="E252" s="2">
        <v>1</v>
      </c>
      <c r="F252" s="2">
        <v>1</v>
      </c>
      <c r="G252" s="2">
        <v>0</v>
      </c>
      <c r="H252" s="2" t="s">
        <v>49</v>
      </c>
      <c r="I252" s="2" t="s">
        <v>1270</v>
      </c>
      <c r="J252" s="2" t="s">
        <v>1271</v>
      </c>
      <c r="K252" s="2" t="s">
        <v>1261</v>
      </c>
      <c r="L252" s="4">
        <v>15</v>
      </c>
      <c r="M252" s="5">
        <v>4.5999999999999996</v>
      </c>
      <c r="N252" s="6">
        <f t="shared" si="19"/>
        <v>69</v>
      </c>
      <c r="O252" s="2" t="s">
        <v>51</v>
      </c>
      <c r="P252" s="7">
        <v>0.66666700000000001</v>
      </c>
      <c r="S252" s="6">
        <f t="shared" si="20"/>
        <v>69</v>
      </c>
    </row>
    <row r="253" spans="1:19" ht="15" customHeight="1" x14ac:dyDescent="0.3">
      <c r="A253" s="2" t="s">
        <v>1272</v>
      </c>
      <c r="B253" s="2" t="s">
        <v>1273</v>
      </c>
      <c r="C253" s="2" t="s">
        <v>1274</v>
      </c>
      <c r="D253" s="2" t="s">
        <v>1261</v>
      </c>
      <c r="E253" s="2">
        <v>1</v>
      </c>
      <c r="F253" s="2">
        <v>1</v>
      </c>
      <c r="G253" s="2">
        <v>0</v>
      </c>
      <c r="H253" s="2" t="s">
        <v>49</v>
      </c>
      <c r="I253" s="2" t="s">
        <v>1275</v>
      </c>
      <c r="J253" s="2" t="s">
        <v>1276</v>
      </c>
      <c r="K253" s="2" t="s">
        <v>1277</v>
      </c>
      <c r="L253" s="4">
        <v>15</v>
      </c>
      <c r="M253" s="5">
        <v>5.5</v>
      </c>
      <c r="N253" s="6">
        <f t="shared" si="19"/>
        <v>82.5</v>
      </c>
      <c r="O253" s="2" t="s">
        <v>51</v>
      </c>
      <c r="P253" s="7">
        <v>1.76667</v>
      </c>
      <c r="S253" s="6">
        <f t="shared" si="20"/>
        <v>82.5</v>
      </c>
    </row>
    <row r="254" spans="1:19" ht="15" customHeight="1" x14ac:dyDescent="0.3">
      <c r="A254" s="2" t="s">
        <v>1278</v>
      </c>
      <c r="B254" s="2" t="s">
        <v>1279</v>
      </c>
      <c r="C254" s="2" t="s">
        <v>1280</v>
      </c>
      <c r="D254" s="2" t="s">
        <v>1261</v>
      </c>
      <c r="E254" s="2">
        <v>1</v>
      </c>
      <c r="F254" s="2">
        <v>1</v>
      </c>
      <c r="G254" s="2">
        <v>0</v>
      </c>
      <c r="H254" s="2" t="s">
        <v>49</v>
      </c>
      <c r="I254" s="2" t="s">
        <v>1279</v>
      </c>
      <c r="J254" s="2" t="s">
        <v>1281</v>
      </c>
      <c r="K254" s="2" t="s">
        <v>1261</v>
      </c>
      <c r="L254" s="4">
        <v>12</v>
      </c>
      <c r="M254" s="5">
        <v>3.5</v>
      </c>
      <c r="N254" s="6">
        <f t="shared" si="19"/>
        <v>42</v>
      </c>
      <c r="O254" s="2" t="s">
        <v>51</v>
      </c>
      <c r="P254" s="7">
        <v>0.33333299999999999</v>
      </c>
      <c r="S254" s="6">
        <f t="shared" si="20"/>
        <v>42</v>
      </c>
    </row>
    <row r="255" spans="1:19" ht="15" customHeight="1" x14ac:dyDescent="0.3">
      <c r="A255" s="2" t="s">
        <v>1282</v>
      </c>
      <c r="B255" s="2" t="s">
        <v>1283</v>
      </c>
      <c r="C255" s="2" t="s">
        <v>1284</v>
      </c>
      <c r="D255" s="2" t="s">
        <v>1277</v>
      </c>
      <c r="E255" s="2">
        <v>1</v>
      </c>
      <c r="F255" s="2">
        <v>1</v>
      </c>
      <c r="G255" s="2">
        <v>1</v>
      </c>
      <c r="H255" s="2" t="s">
        <v>49</v>
      </c>
      <c r="I255" s="2" t="s">
        <v>1285</v>
      </c>
      <c r="J255" s="2" t="s">
        <v>1286</v>
      </c>
      <c r="K255" s="2" t="s">
        <v>1287</v>
      </c>
      <c r="L255" s="4">
        <v>16</v>
      </c>
      <c r="M255" s="5">
        <v>4.2</v>
      </c>
      <c r="N255" s="6">
        <f t="shared" si="19"/>
        <v>67.2</v>
      </c>
      <c r="O255" s="2" t="s">
        <v>51</v>
      </c>
      <c r="P255" s="7">
        <v>0.61718799999999996</v>
      </c>
      <c r="S255" s="6">
        <f t="shared" si="20"/>
        <v>67.2</v>
      </c>
    </row>
    <row r="256" spans="1:19" ht="15" customHeight="1" x14ac:dyDescent="0.3">
      <c r="A256" s="2" t="s">
        <v>1288</v>
      </c>
      <c r="B256" s="2" t="s">
        <v>1289</v>
      </c>
      <c r="C256" s="2" t="s">
        <v>1290</v>
      </c>
      <c r="D256" s="2" t="s">
        <v>1277</v>
      </c>
      <c r="E256" s="2">
        <v>1</v>
      </c>
      <c r="F256" s="2">
        <v>1</v>
      </c>
      <c r="G256" s="2">
        <v>0</v>
      </c>
      <c r="H256" s="2" t="s">
        <v>49</v>
      </c>
      <c r="I256" s="2" t="s">
        <v>1291</v>
      </c>
      <c r="J256" s="2" t="s">
        <v>1292</v>
      </c>
      <c r="K256" s="2" t="s">
        <v>1287</v>
      </c>
      <c r="L256" s="4">
        <v>16</v>
      </c>
      <c r="M256" s="5">
        <v>11</v>
      </c>
      <c r="N256" s="6">
        <f t="shared" si="19"/>
        <v>176</v>
      </c>
      <c r="O256" s="2" t="s">
        <v>51</v>
      </c>
      <c r="P256" s="7">
        <v>0.3125</v>
      </c>
      <c r="S256" s="6">
        <f t="shared" si="20"/>
        <v>176</v>
      </c>
    </row>
    <row r="257" spans="1:19" ht="15" customHeight="1" x14ac:dyDescent="0.3">
      <c r="A257" s="2" t="s">
        <v>1293</v>
      </c>
      <c r="B257" s="2" t="s">
        <v>1294</v>
      </c>
      <c r="C257" s="2" t="s">
        <v>1295</v>
      </c>
      <c r="D257" s="2" t="s">
        <v>1277</v>
      </c>
      <c r="E257" s="2">
        <v>1</v>
      </c>
      <c r="F257" s="2">
        <v>1</v>
      </c>
      <c r="G257" s="2">
        <v>0</v>
      </c>
      <c r="H257" s="2" t="s">
        <v>49</v>
      </c>
      <c r="I257" s="2" t="s">
        <v>1294</v>
      </c>
      <c r="J257" s="2" t="s">
        <v>1296</v>
      </c>
      <c r="K257" s="2" t="s">
        <v>1277</v>
      </c>
      <c r="L257" s="4">
        <v>14</v>
      </c>
      <c r="M257" s="5">
        <v>10</v>
      </c>
      <c r="N257" s="6">
        <f t="shared" si="19"/>
        <v>140</v>
      </c>
      <c r="O257" s="2" t="s">
        <v>51</v>
      </c>
      <c r="P257" s="7">
        <v>0.53571400000000002</v>
      </c>
      <c r="S257" s="6">
        <f t="shared" si="20"/>
        <v>140</v>
      </c>
    </row>
    <row r="258" spans="1:19" ht="15" customHeight="1" x14ac:dyDescent="0.3">
      <c r="A258" s="2" t="s">
        <v>1297</v>
      </c>
      <c r="B258" s="2" t="s">
        <v>1298</v>
      </c>
      <c r="C258" s="2" t="s">
        <v>1299</v>
      </c>
      <c r="D258" s="2" t="s">
        <v>1277</v>
      </c>
      <c r="E258" s="2">
        <v>2</v>
      </c>
      <c r="F258" s="2">
        <v>0</v>
      </c>
      <c r="G258" s="2">
        <v>0</v>
      </c>
      <c r="H258" s="2" t="s">
        <v>115</v>
      </c>
      <c r="I258" s="2" t="s">
        <v>1300</v>
      </c>
      <c r="J258" s="2" t="s">
        <v>1301</v>
      </c>
      <c r="S258" s="6" t="str">
        <f t="shared" si="20"/>
        <v/>
      </c>
    </row>
    <row r="259" spans="1:19" ht="15" customHeight="1" x14ac:dyDescent="0.3">
      <c r="A259" s="2" t="s">
        <v>1302</v>
      </c>
      <c r="B259" s="2" t="s">
        <v>1303</v>
      </c>
      <c r="C259" s="2" t="s">
        <v>1304</v>
      </c>
      <c r="D259" s="2" t="s">
        <v>1287</v>
      </c>
      <c r="E259" s="2">
        <v>1</v>
      </c>
      <c r="F259" s="2">
        <v>1</v>
      </c>
      <c r="G259" s="2">
        <v>0</v>
      </c>
      <c r="H259" s="2" t="s">
        <v>49</v>
      </c>
      <c r="I259" s="2" t="s">
        <v>1303</v>
      </c>
      <c r="J259" s="2" t="s">
        <v>1305</v>
      </c>
      <c r="K259" s="2" t="s">
        <v>1287</v>
      </c>
      <c r="L259" s="4">
        <v>14</v>
      </c>
      <c r="M259" s="5">
        <v>5</v>
      </c>
      <c r="N259" s="6">
        <f>L259*M259</f>
        <v>70</v>
      </c>
      <c r="O259" s="2" t="s">
        <v>51</v>
      </c>
      <c r="P259" s="7">
        <v>0.625</v>
      </c>
      <c r="S259" s="6">
        <f t="shared" si="20"/>
        <v>70</v>
      </c>
    </row>
    <row r="260" spans="1:19" ht="15" customHeight="1" x14ac:dyDescent="0.3">
      <c r="A260" s="2" t="s">
        <v>1306</v>
      </c>
      <c r="B260" s="2" t="s">
        <v>1307</v>
      </c>
      <c r="C260" s="2" t="s">
        <v>1308</v>
      </c>
      <c r="D260" s="2" t="s">
        <v>1309</v>
      </c>
      <c r="E260" s="2">
        <v>1</v>
      </c>
      <c r="F260" s="2">
        <v>1</v>
      </c>
      <c r="G260" s="2">
        <v>1</v>
      </c>
      <c r="H260" s="2" t="s">
        <v>49</v>
      </c>
      <c r="I260" s="2" t="s">
        <v>1310</v>
      </c>
      <c r="J260" s="2" t="s">
        <v>1311</v>
      </c>
      <c r="K260" s="2" t="s">
        <v>1312</v>
      </c>
      <c r="L260" s="4">
        <v>20</v>
      </c>
      <c r="M260" s="5">
        <v>7.5</v>
      </c>
      <c r="N260" s="6">
        <f>L260*M260</f>
        <v>150</v>
      </c>
      <c r="O260" s="2" t="s">
        <v>51</v>
      </c>
      <c r="P260" s="7">
        <v>1.1499999999999999</v>
      </c>
      <c r="S260" s="6">
        <f t="shared" si="20"/>
        <v>150</v>
      </c>
    </row>
    <row r="261" spans="1:19" ht="15" customHeight="1" x14ac:dyDescent="0.3">
      <c r="A261" s="2" t="s">
        <v>1313</v>
      </c>
      <c r="B261" s="2" t="s">
        <v>1314</v>
      </c>
      <c r="C261" s="2" t="s">
        <v>1315</v>
      </c>
      <c r="D261" s="2" t="s">
        <v>1309</v>
      </c>
      <c r="E261" s="2">
        <v>1</v>
      </c>
      <c r="F261" s="2">
        <v>1</v>
      </c>
      <c r="G261" s="2">
        <v>1</v>
      </c>
      <c r="H261" s="8" t="s">
        <v>138</v>
      </c>
      <c r="R261" s="9">
        <v>135</v>
      </c>
      <c r="S261" s="6">
        <f>R261</f>
        <v>135</v>
      </c>
    </row>
    <row r="262" spans="1:19" ht="15" customHeight="1" x14ac:dyDescent="0.3">
      <c r="A262" s="2" t="s">
        <v>1316</v>
      </c>
      <c r="B262" s="2" t="s">
        <v>1317</v>
      </c>
      <c r="C262" s="2" t="s">
        <v>1318</v>
      </c>
      <c r="D262" s="2" t="s">
        <v>1312</v>
      </c>
      <c r="E262" s="2">
        <v>2</v>
      </c>
      <c r="F262" s="2">
        <v>0</v>
      </c>
      <c r="G262" s="2">
        <v>0</v>
      </c>
      <c r="H262" s="2" t="s">
        <v>373</v>
      </c>
      <c r="S262" s="6" t="str">
        <f t="shared" ref="S262:S271" si="21">IF(N262&lt;&gt;"",N262,"")</f>
        <v/>
      </c>
    </row>
    <row r="263" spans="1:19" ht="15" customHeight="1" x14ac:dyDescent="0.3">
      <c r="A263" s="2" t="s">
        <v>1319</v>
      </c>
      <c r="B263" s="2" t="s">
        <v>1320</v>
      </c>
      <c r="C263" s="2" t="s">
        <v>1321</v>
      </c>
      <c r="D263" s="2" t="s">
        <v>1312</v>
      </c>
      <c r="E263" s="2">
        <v>1</v>
      </c>
      <c r="F263" s="2">
        <v>1</v>
      </c>
      <c r="G263" s="2">
        <v>1</v>
      </c>
      <c r="H263" s="2" t="s">
        <v>49</v>
      </c>
      <c r="I263" s="2" t="s">
        <v>1320</v>
      </c>
      <c r="J263" s="2" t="s">
        <v>1322</v>
      </c>
      <c r="K263" s="2" t="s">
        <v>1312</v>
      </c>
      <c r="L263" s="4">
        <v>12</v>
      </c>
      <c r="M263" s="5">
        <v>5</v>
      </c>
      <c r="N263" s="6">
        <f>L263*M263</f>
        <v>60</v>
      </c>
      <c r="O263" s="2" t="s">
        <v>51</v>
      </c>
      <c r="P263" s="7">
        <v>-0.104167</v>
      </c>
      <c r="S263" s="6">
        <f t="shared" si="21"/>
        <v>60</v>
      </c>
    </row>
    <row r="264" spans="1:19" ht="15" customHeight="1" x14ac:dyDescent="0.3">
      <c r="A264" s="2" t="s">
        <v>1323</v>
      </c>
      <c r="B264" s="2" t="s">
        <v>1324</v>
      </c>
      <c r="C264" s="2" t="s">
        <v>1325</v>
      </c>
      <c r="D264" s="2" t="s">
        <v>1326</v>
      </c>
      <c r="E264" s="2">
        <v>1</v>
      </c>
      <c r="F264" s="2">
        <v>0</v>
      </c>
      <c r="G264" s="2">
        <v>0</v>
      </c>
      <c r="H264" s="2" t="s">
        <v>5</v>
      </c>
      <c r="K264" s="2" t="s">
        <v>1326</v>
      </c>
      <c r="L264" s="4">
        <v>32</v>
      </c>
      <c r="M264" s="5">
        <v>62.5</v>
      </c>
      <c r="N264" s="6">
        <v>2000</v>
      </c>
      <c r="O264" s="2" t="s">
        <v>51</v>
      </c>
      <c r="Q264" s="2" t="s">
        <v>1327</v>
      </c>
      <c r="S264" s="6">
        <f t="shared" si="21"/>
        <v>2000</v>
      </c>
    </row>
    <row r="265" spans="1:19" ht="15" customHeight="1" x14ac:dyDescent="0.3">
      <c r="A265" s="2" t="s">
        <v>1328</v>
      </c>
      <c r="B265" s="2" t="s">
        <v>1329</v>
      </c>
      <c r="C265" s="2" t="s">
        <v>1330</v>
      </c>
      <c r="D265" s="2" t="s">
        <v>1326</v>
      </c>
      <c r="E265" s="2">
        <v>1</v>
      </c>
      <c r="F265" s="2">
        <v>1</v>
      </c>
      <c r="G265" s="2">
        <v>0</v>
      </c>
      <c r="H265" s="2" t="s">
        <v>49</v>
      </c>
      <c r="I265" s="2" t="s">
        <v>1329</v>
      </c>
      <c r="J265" s="2" t="s">
        <v>1331</v>
      </c>
      <c r="K265" s="2" t="s">
        <v>1332</v>
      </c>
      <c r="L265" s="4">
        <v>19</v>
      </c>
      <c r="M265" s="5">
        <v>4.6500000000000004</v>
      </c>
      <c r="N265" s="6">
        <f t="shared" ref="N265:N271" si="22">L265*M265</f>
        <v>88.350000000000009</v>
      </c>
      <c r="O265" s="2" t="s">
        <v>51</v>
      </c>
      <c r="P265" s="7">
        <v>0.31578899999999999</v>
      </c>
      <c r="S265" s="6">
        <f t="shared" si="21"/>
        <v>88.350000000000009</v>
      </c>
    </row>
    <row r="266" spans="1:19" ht="15" customHeight="1" x14ac:dyDescent="0.3">
      <c r="A266" s="2" t="s">
        <v>1333</v>
      </c>
      <c r="B266" s="2" t="s">
        <v>1334</v>
      </c>
      <c r="C266" s="2" t="s">
        <v>1335</v>
      </c>
      <c r="D266" s="2" t="s">
        <v>1332</v>
      </c>
      <c r="E266" s="2">
        <v>1</v>
      </c>
      <c r="F266" s="2">
        <v>1</v>
      </c>
      <c r="G266" s="2">
        <v>1</v>
      </c>
      <c r="H266" s="2" t="s">
        <v>49</v>
      </c>
      <c r="I266" s="2" t="s">
        <v>1334</v>
      </c>
      <c r="J266" s="2" t="s">
        <v>1336</v>
      </c>
      <c r="K266" s="2" t="s">
        <v>1337</v>
      </c>
      <c r="L266" s="4">
        <v>10</v>
      </c>
      <c r="M266" s="5">
        <v>4</v>
      </c>
      <c r="N266" s="6">
        <f t="shared" si="22"/>
        <v>40</v>
      </c>
      <c r="O266" s="2" t="s">
        <v>51</v>
      </c>
      <c r="P266" s="7">
        <v>0</v>
      </c>
      <c r="S266" s="6">
        <f t="shared" si="21"/>
        <v>40</v>
      </c>
    </row>
    <row r="267" spans="1:19" ht="15" customHeight="1" x14ac:dyDescent="0.3">
      <c r="A267" s="2" t="s">
        <v>1338</v>
      </c>
      <c r="B267" s="2" t="s">
        <v>1339</v>
      </c>
      <c r="C267" s="2" t="s">
        <v>1340</v>
      </c>
      <c r="D267" s="2" t="s">
        <v>1332</v>
      </c>
      <c r="E267" s="2">
        <v>1</v>
      </c>
      <c r="F267" s="2">
        <v>1</v>
      </c>
      <c r="G267" s="2">
        <v>0</v>
      </c>
      <c r="H267" s="2" t="s">
        <v>49</v>
      </c>
      <c r="I267" s="2" t="s">
        <v>1341</v>
      </c>
      <c r="J267" s="2" t="s">
        <v>1342</v>
      </c>
      <c r="K267" s="2" t="s">
        <v>1332</v>
      </c>
      <c r="L267" s="4">
        <v>12</v>
      </c>
      <c r="M267" s="5">
        <v>3.6</v>
      </c>
      <c r="N267" s="6">
        <f t="shared" si="22"/>
        <v>43.2</v>
      </c>
      <c r="O267" s="2" t="s">
        <v>51</v>
      </c>
      <c r="P267" s="7">
        <v>8.8541700000000001E-2</v>
      </c>
      <c r="S267" s="6">
        <f t="shared" si="21"/>
        <v>43.2</v>
      </c>
    </row>
    <row r="268" spans="1:19" ht="15" customHeight="1" x14ac:dyDescent="0.3">
      <c r="A268" s="2" t="s">
        <v>1343</v>
      </c>
      <c r="B268" s="2" t="s">
        <v>1344</v>
      </c>
      <c r="C268" s="2" t="s">
        <v>1345</v>
      </c>
      <c r="D268" s="2" t="s">
        <v>1332</v>
      </c>
      <c r="E268" s="2">
        <v>1</v>
      </c>
      <c r="F268" s="2">
        <v>1</v>
      </c>
      <c r="G268" s="2">
        <v>1</v>
      </c>
      <c r="H268" s="2" t="s">
        <v>49</v>
      </c>
      <c r="I268" s="2" t="s">
        <v>1346</v>
      </c>
      <c r="J268" s="2" t="s">
        <v>1347</v>
      </c>
      <c r="K268" s="2" t="s">
        <v>1337</v>
      </c>
      <c r="L268" s="4">
        <v>14</v>
      </c>
      <c r="M268" s="5">
        <v>3.5</v>
      </c>
      <c r="N268" s="6">
        <f t="shared" si="22"/>
        <v>49</v>
      </c>
      <c r="O268" s="2" t="s">
        <v>51</v>
      </c>
      <c r="P268" s="7">
        <v>0.28571400000000002</v>
      </c>
      <c r="S268" s="6">
        <f t="shared" si="21"/>
        <v>49</v>
      </c>
    </row>
    <row r="269" spans="1:19" ht="15" customHeight="1" x14ac:dyDescent="0.3">
      <c r="A269" s="2" t="s">
        <v>1348</v>
      </c>
      <c r="B269" s="2" t="s">
        <v>1349</v>
      </c>
      <c r="C269" s="2" t="s">
        <v>1350</v>
      </c>
      <c r="D269" s="2" t="s">
        <v>1332</v>
      </c>
      <c r="E269" s="2">
        <v>1</v>
      </c>
      <c r="F269" s="2">
        <v>1</v>
      </c>
      <c r="G269" s="2">
        <v>1</v>
      </c>
      <c r="H269" s="2" t="s">
        <v>49</v>
      </c>
      <c r="I269" s="2" t="s">
        <v>1351</v>
      </c>
      <c r="J269" s="2" t="s">
        <v>1352</v>
      </c>
      <c r="K269" s="2" t="s">
        <v>1326</v>
      </c>
      <c r="L269" s="4">
        <v>12</v>
      </c>
      <c r="M269" s="5">
        <v>4</v>
      </c>
      <c r="N269" s="6">
        <f t="shared" si="22"/>
        <v>48</v>
      </c>
      <c r="O269" s="2" t="s">
        <v>51</v>
      </c>
      <c r="S269" s="6">
        <f t="shared" si="21"/>
        <v>48</v>
      </c>
    </row>
    <row r="270" spans="1:19" ht="15" customHeight="1" x14ac:dyDescent="0.3">
      <c r="A270" s="2" t="s">
        <v>1353</v>
      </c>
      <c r="B270" s="2" t="s">
        <v>1354</v>
      </c>
      <c r="C270" s="2" t="s">
        <v>1355</v>
      </c>
      <c r="D270" s="2" t="s">
        <v>1332</v>
      </c>
      <c r="E270" s="2">
        <v>1</v>
      </c>
      <c r="F270" s="2">
        <v>1</v>
      </c>
      <c r="G270" s="2">
        <v>1</v>
      </c>
      <c r="H270" s="2" t="s">
        <v>49</v>
      </c>
      <c r="I270" s="2" t="s">
        <v>1354</v>
      </c>
      <c r="J270" s="2" t="s">
        <v>1356</v>
      </c>
      <c r="K270" s="2" t="s">
        <v>1337</v>
      </c>
      <c r="L270" s="4">
        <v>15</v>
      </c>
      <c r="M270" s="5">
        <v>6</v>
      </c>
      <c r="N270" s="6">
        <f t="shared" si="22"/>
        <v>90</v>
      </c>
      <c r="O270" s="2" t="s">
        <v>51</v>
      </c>
      <c r="P270" s="7">
        <v>0.33333299999999999</v>
      </c>
      <c r="S270" s="6">
        <f t="shared" si="21"/>
        <v>90</v>
      </c>
    </row>
    <row r="271" spans="1:19" ht="15" customHeight="1" x14ac:dyDescent="0.3">
      <c r="A271" s="2" t="s">
        <v>1357</v>
      </c>
      <c r="B271" s="2" t="s">
        <v>1358</v>
      </c>
      <c r="C271" s="2" t="s">
        <v>1359</v>
      </c>
      <c r="D271" s="2" t="s">
        <v>1332</v>
      </c>
      <c r="E271" s="2">
        <v>1</v>
      </c>
      <c r="F271" s="2">
        <v>1</v>
      </c>
      <c r="G271" s="2">
        <v>0</v>
      </c>
      <c r="H271" s="2" t="s">
        <v>49</v>
      </c>
      <c r="I271" s="2" t="s">
        <v>1358</v>
      </c>
      <c r="J271" s="2" t="s">
        <v>1360</v>
      </c>
      <c r="K271" s="2" t="s">
        <v>1337</v>
      </c>
      <c r="L271" s="4">
        <v>16</v>
      </c>
      <c r="M271" s="5">
        <v>6</v>
      </c>
      <c r="N271" s="6">
        <f t="shared" si="22"/>
        <v>96</v>
      </c>
      <c r="O271" s="2" t="s">
        <v>51</v>
      </c>
      <c r="P271" s="7">
        <v>0.86718799999999996</v>
      </c>
      <c r="S271" s="6">
        <f t="shared" si="21"/>
        <v>96</v>
      </c>
    </row>
    <row r="272" spans="1:19" ht="15" customHeight="1" x14ac:dyDescent="0.3">
      <c r="A272" s="2" t="s">
        <v>1361</v>
      </c>
      <c r="B272" s="2" t="s">
        <v>1362</v>
      </c>
      <c r="C272" s="2" t="s">
        <v>1363</v>
      </c>
      <c r="D272" s="2" t="s">
        <v>1332</v>
      </c>
      <c r="E272" s="2">
        <v>1</v>
      </c>
      <c r="F272" s="2">
        <v>0</v>
      </c>
      <c r="G272" s="2">
        <v>0</v>
      </c>
      <c r="H272" s="8" t="s">
        <v>138</v>
      </c>
      <c r="R272" s="9">
        <v>135</v>
      </c>
      <c r="S272" s="6">
        <f>R272</f>
        <v>135</v>
      </c>
    </row>
    <row r="273" spans="1:19" ht="15" customHeight="1" x14ac:dyDescent="0.3">
      <c r="A273" s="2" t="s">
        <v>1364</v>
      </c>
      <c r="B273" s="2" t="s">
        <v>1365</v>
      </c>
      <c r="C273" s="2" t="s">
        <v>1366</v>
      </c>
      <c r="D273" s="2" t="s">
        <v>1332</v>
      </c>
      <c r="E273" s="2">
        <v>1</v>
      </c>
      <c r="F273" s="2">
        <v>1</v>
      </c>
      <c r="G273" s="2">
        <v>0</v>
      </c>
      <c r="H273" s="2" t="s">
        <v>55</v>
      </c>
      <c r="I273" s="2" t="s">
        <v>1367</v>
      </c>
      <c r="J273" s="2" t="s">
        <v>1368</v>
      </c>
      <c r="K273" s="2" t="s">
        <v>1332</v>
      </c>
      <c r="L273" s="4">
        <v>18</v>
      </c>
      <c r="M273" s="5">
        <v>5</v>
      </c>
      <c r="N273" s="6">
        <f>L273*M273</f>
        <v>90</v>
      </c>
      <c r="O273" s="2" t="s">
        <v>51</v>
      </c>
      <c r="P273" s="7">
        <v>0</v>
      </c>
      <c r="S273" s="6">
        <f>IF(N273&lt;&gt;"",N273,"")</f>
        <v>90</v>
      </c>
    </row>
    <row r="274" spans="1:19" ht="15" customHeight="1" x14ac:dyDescent="0.3">
      <c r="A274" s="2" t="s">
        <v>1369</v>
      </c>
      <c r="B274" s="2" t="s">
        <v>1370</v>
      </c>
      <c r="C274" s="2" t="s">
        <v>1371</v>
      </c>
      <c r="D274" s="2" t="s">
        <v>1332</v>
      </c>
      <c r="E274" s="2">
        <v>1</v>
      </c>
      <c r="F274" s="2">
        <v>1</v>
      </c>
      <c r="G274" s="2">
        <v>1</v>
      </c>
      <c r="H274" s="8" t="s">
        <v>67</v>
      </c>
      <c r="I274" s="2" t="s">
        <v>1372</v>
      </c>
      <c r="J274" s="2" t="s">
        <v>1373</v>
      </c>
      <c r="R274" s="9">
        <v>135</v>
      </c>
      <c r="S274" s="6">
        <f>R274</f>
        <v>135</v>
      </c>
    </row>
    <row r="275" spans="1:19" ht="15" customHeight="1" x14ac:dyDescent="0.3">
      <c r="A275" s="2" t="s">
        <v>1374</v>
      </c>
      <c r="B275" s="2" t="s">
        <v>1375</v>
      </c>
      <c r="C275" s="2" t="s">
        <v>1376</v>
      </c>
      <c r="D275" s="2" t="s">
        <v>1332</v>
      </c>
      <c r="E275" s="2">
        <v>1</v>
      </c>
      <c r="F275" s="2">
        <v>1</v>
      </c>
      <c r="G275" s="2">
        <v>0</v>
      </c>
      <c r="H275" s="2" t="s">
        <v>49</v>
      </c>
      <c r="I275" s="2" t="s">
        <v>1377</v>
      </c>
      <c r="J275" s="2" t="s">
        <v>1378</v>
      </c>
      <c r="K275" s="2" t="s">
        <v>1337</v>
      </c>
      <c r="L275" s="4">
        <v>31</v>
      </c>
      <c r="M275" s="5">
        <v>7</v>
      </c>
      <c r="N275" s="6">
        <f>L275*M275</f>
        <v>217</v>
      </c>
      <c r="O275" s="2" t="s">
        <v>51</v>
      </c>
      <c r="P275" s="7">
        <v>1.90323</v>
      </c>
      <c r="S275" s="6">
        <f>IF(N275&lt;&gt;"",N275,"")</f>
        <v>217</v>
      </c>
    </row>
    <row r="276" spans="1:19" ht="15" customHeight="1" x14ac:dyDescent="0.3">
      <c r="A276" s="2" t="s">
        <v>1379</v>
      </c>
      <c r="B276" s="2" t="s">
        <v>1380</v>
      </c>
      <c r="C276" s="2" t="s">
        <v>1381</v>
      </c>
      <c r="D276" s="2" t="s">
        <v>1337</v>
      </c>
      <c r="E276" s="2">
        <v>1</v>
      </c>
      <c r="F276" s="2">
        <v>1</v>
      </c>
      <c r="G276" s="2">
        <v>0</v>
      </c>
      <c r="H276" s="2" t="s">
        <v>49</v>
      </c>
      <c r="I276" s="2" t="s">
        <v>1380</v>
      </c>
      <c r="J276" s="2" t="s">
        <v>1382</v>
      </c>
      <c r="K276" s="2" t="s">
        <v>1337</v>
      </c>
      <c r="L276" s="4">
        <v>18</v>
      </c>
      <c r="M276" s="5">
        <v>6</v>
      </c>
      <c r="N276" s="6">
        <f>L276*M276</f>
        <v>108</v>
      </c>
      <c r="O276" s="2" t="s">
        <v>51</v>
      </c>
      <c r="P276" s="7">
        <v>0.33333299999999999</v>
      </c>
      <c r="S276" s="6">
        <f>IF(N276&lt;&gt;"",N276,"")</f>
        <v>108</v>
      </c>
    </row>
    <row r="277" spans="1:19" ht="15" customHeight="1" x14ac:dyDescent="0.3">
      <c r="A277" s="2" t="s">
        <v>1383</v>
      </c>
      <c r="B277" s="2" t="s">
        <v>1384</v>
      </c>
      <c r="C277" s="2" t="s">
        <v>1385</v>
      </c>
      <c r="D277" s="2" t="s">
        <v>1337</v>
      </c>
      <c r="E277" s="2">
        <v>1</v>
      </c>
      <c r="F277" s="2">
        <v>0</v>
      </c>
      <c r="G277" s="2">
        <v>0</v>
      </c>
      <c r="H277" s="8" t="s">
        <v>67</v>
      </c>
      <c r="I277" s="2" t="s">
        <v>1386</v>
      </c>
      <c r="J277" s="2" t="s">
        <v>1387</v>
      </c>
      <c r="K277" s="2" t="s">
        <v>1337</v>
      </c>
      <c r="R277" s="9">
        <v>135</v>
      </c>
      <c r="S277" s="6">
        <f>R277</f>
        <v>135</v>
      </c>
    </row>
    <row r="278" spans="1:19" ht="15" customHeight="1" x14ac:dyDescent="0.3">
      <c r="A278" s="2" t="s">
        <v>1388</v>
      </c>
      <c r="B278" s="2" t="s">
        <v>1389</v>
      </c>
      <c r="C278" s="2" t="s">
        <v>1390</v>
      </c>
      <c r="D278" s="2" t="s">
        <v>1337</v>
      </c>
      <c r="E278" s="2">
        <v>1</v>
      </c>
      <c r="F278" s="2">
        <v>0</v>
      </c>
      <c r="G278" s="2">
        <v>0</v>
      </c>
      <c r="H278" s="2" t="s">
        <v>49</v>
      </c>
      <c r="I278" s="2" t="s">
        <v>1389</v>
      </c>
      <c r="J278" s="2" t="s">
        <v>1391</v>
      </c>
      <c r="K278" s="2" t="s">
        <v>1337</v>
      </c>
      <c r="L278" s="4">
        <v>10</v>
      </c>
      <c r="M278" s="5">
        <v>4.5999999999999996</v>
      </c>
      <c r="N278" s="6">
        <f t="shared" ref="N278:N283" si="23">L278*M278</f>
        <v>46</v>
      </c>
      <c r="O278" s="2" t="s">
        <v>51</v>
      </c>
      <c r="P278" s="7">
        <v>-0.05</v>
      </c>
      <c r="S278" s="6">
        <f t="shared" ref="S278:S283" si="24">IF(N278&lt;&gt;"",N278,"")</f>
        <v>46</v>
      </c>
    </row>
    <row r="279" spans="1:19" ht="15" customHeight="1" x14ac:dyDescent="0.3">
      <c r="A279" s="2" t="s">
        <v>1392</v>
      </c>
      <c r="B279" s="2" t="s">
        <v>1393</v>
      </c>
      <c r="C279" s="2" t="s">
        <v>1394</v>
      </c>
      <c r="D279" s="2" t="s">
        <v>1395</v>
      </c>
      <c r="E279" s="2">
        <v>1</v>
      </c>
      <c r="F279" s="2">
        <v>0</v>
      </c>
      <c r="G279" s="2">
        <v>1</v>
      </c>
      <c r="H279" s="2" t="s">
        <v>49</v>
      </c>
      <c r="I279" s="2" t="s">
        <v>1393</v>
      </c>
      <c r="J279" s="2" t="s">
        <v>1396</v>
      </c>
      <c r="K279" s="2" t="s">
        <v>1397</v>
      </c>
      <c r="L279" s="4">
        <v>7</v>
      </c>
      <c r="M279" s="5">
        <v>5</v>
      </c>
      <c r="N279" s="6">
        <f t="shared" si="23"/>
        <v>35</v>
      </c>
      <c r="O279" s="2" t="s">
        <v>51</v>
      </c>
      <c r="P279" s="7">
        <v>8.9285699999999996E-2</v>
      </c>
      <c r="S279" s="6">
        <f t="shared" si="24"/>
        <v>35</v>
      </c>
    </row>
    <row r="280" spans="1:19" ht="15" customHeight="1" x14ac:dyDescent="0.3">
      <c r="A280" s="2" t="s">
        <v>1398</v>
      </c>
      <c r="B280" s="2" t="s">
        <v>1399</v>
      </c>
      <c r="C280" s="2" t="s">
        <v>1400</v>
      </c>
      <c r="D280" s="2" t="s">
        <v>1395</v>
      </c>
      <c r="E280" s="2">
        <v>1</v>
      </c>
      <c r="F280" s="2">
        <v>1</v>
      </c>
      <c r="G280" s="2">
        <v>0</v>
      </c>
      <c r="H280" s="2" t="s">
        <v>49</v>
      </c>
      <c r="I280" s="2" t="s">
        <v>1399</v>
      </c>
      <c r="J280" s="2" t="s">
        <v>1401</v>
      </c>
      <c r="K280" s="2" t="s">
        <v>1397</v>
      </c>
      <c r="L280" s="4">
        <v>12</v>
      </c>
      <c r="M280" s="5">
        <v>3.75</v>
      </c>
      <c r="N280" s="6">
        <f t="shared" si="23"/>
        <v>45</v>
      </c>
      <c r="O280" s="2" t="s">
        <v>51</v>
      </c>
      <c r="P280" s="7">
        <v>5.2083299999999997E-3</v>
      </c>
      <c r="S280" s="6">
        <f t="shared" si="24"/>
        <v>45</v>
      </c>
    </row>
    <row r="281" spans="1:19" ht="15" customHeight="1" x14ac:dyDescent="0.3">
      <c r="A281" s="2" t="s">
        <v>1402</v>
      </c>
      <c r="B281" s="2" t="s">
        <v>1403</v>
      </c>
      <c r="C281" s="2" t="s">
        <v>1404</v>
      </c>
      <c r="D281" s="2" t="s">
        <v>1395</v>
      </c>
      <c r="E281" s="2">
        <v>1</v>
      </c>
      <c r="F281" s="2">
        <v>0</v>
      </c>
      <c r="G281" s="2">
        <v>0</v>
      </c>
      <c r="H281" s="2" t="s">
        <v>55</v>
      </c>
      <c r="I281" s="2" t="s">
        <v>1405</v>
      </c>
      <c r="J281" s="2" t="s">
        <v>1406</v>
      </c>
      <c r="K281" s="2" t="s">
        <v>1397</v>
      </c>
      <c r="L281" s="4">
        <v>12</v>
      </c>
      <c r="M281" s="5">
        <v>7.5</v>
      </c>
      <c r="N281" s="6">
        <f t="shared" si="23"/>
        <v>90</v>
      </c>
      <c r="O281" s="2" t="s">
        <v>51</v>
      </c>
      <c r="P281" s="7">
        <v>0.125</v>
      </c>
      <c r="S281" s="6">
        <f t="shared" si="24"/>
        <v>90</v>
      </c>
    </row>
    <row r="282" spans="1:19" ht="15" customHeight="1" x14ac:dyDescent="0.3">
      <c r="A282" s="2" t="s">
        <v>1407</v>
      </c>
      <c r="B282" s="2" t="s">
        <v>1408</v>
      </c>
      <c r="C282" s="2" t="s">
        <v>1409</v>
      </c>
      <c r="D282" s="2" t="s">
        <v>1397</v>
      </c>
      <c r="E282" s="2">
        <v>1</v>
      </c>
      <c r="F282" s="2">
        <v>1</v>
      </c>
      <c r="G282" s="2">
        <v>0</v>
      </c>
      <c r="H282" s="2" t="s">
        <v>55</v>
      </c>
      <c r="I282" s="2" t="s">
        <v>1410</v>
      </c>
      <c r="J282" s="2" t="s">
        <v>1411</v>
      </c>
      <c r="K282" s="2" t="s">
        <v>1397</v>
      </c>
      <c r="L282" s="4">
        <v>10</v>
      </c>
      <c r="M282" s="5">
        <v>5</v>
      </c>
      <c r="N282" s="6">
        <f t="shared" si="23"/>
        <v>50</v>
      </c>
      <c r="O282" s="2" t="s">
        <v>51</v>
      </c>
      <c r="P282" s="7">
        <v>-2.5000000000000001E-2</v>
      </c>
      <c r="S282" s="6">
        <f t="shared" si="24"/>
        <v>50</v>
      </c>
    </row>
    <row r="283" spans="1:19" ht="15" customHeight="1" x14ac:dyDescent="0.3">
      <c r="A283" s="2" t="s">
        <v>1412</v>
      </c>
      <c r="B283" s="2" t="s">
        <v>1413</v>
      </c>
      <c r="C283" s="2" t="s">
        <v>1414</v>
      </c>
      <c r="D283" s="2" t="s">
        <v>1397</v>
      </c>
      <c r="E283" s="2">
        <v>1</v>
      </c>
      <c r="F283" s="2">
        <v>1</v>
      </c>
      <c r="G283" s="2">
        <v>0</v>
      </c>
      <c r="H283" s="2" t="s">
        <v>49</v>
      </c>
      <c r="I283" s="2" t="s">
        <v>1413</v>
      </c>
      <c r="J283" s="2" t="s">
        <v>1415</v>
      </c>
      <c r="K283" s="2" t="s">
        <v>1397</v>
      </c>
      <c r="L283" s="4">
        <v>20</v>
      </c>
      <c r="M283" s="5">
        <v>4.75</v>
      </c>
      <c r="N283" s="6">
        <f t="shared" si="23"/>
        <v>95</v>
      </c>
      <c r="O283" s="2" t="s">
        <v>51</v>
      </c>
      <c r="P283" s="7">
        <v>1.25</v>
      </c>
      <c r="S283" s="6">
        <f t="shared" si="24"/>
        <v>95</v>
      </c>
    </row>
    <row r="284" spans="1:19" ht="15" customHeight="1" x14ac:dyDescent="0.3">
      <c r="A284" s="2" t="s">
        <v>1416</v>
      </c>
      <c r="B284" s="2" t="s">
        <v>1417</v>
      </c>
      <c r="C284" s="2" t="s">
        <v>1418</v>
      </c>
      <c r="D284" s="2" t="s">
        <v>1397</v>
      </c>
      <c r="E284" s="2">
        <v>1</v>
      </c>
      <c r="F284" s="2">
        <v>0</v>
      </c>
      <c r="G284" s="2">
        <v>1</v>
      </c>
      <c r="H284" s="8" t="s">
        <v>138</v>
      </c>
      <c r="R284" s="9">
        <v>135</v>
      </c>
      <c r="S284" s="6">
        <f>R284</f>
        <v>135</v>
      </c>
    </row>
    <row r="285" spans="1:19" ht="15" customHeight="1" x14ac:dyDescent="0.3">
      <c r="A285" s="2" t="s">
        <v>1419</v>
      </c>
      <c r="B285" s="2" t="s">
        <v>1420</v>
      </c>
      <c r="C285" s="2" t="s">
        <v>1421</v>
      </c>
      <c r="D285" s="2" t="s">
        <v>1397</v>
      </c>
      <c r="E285" s="2">
        <v>1</v>
      </c>
      <c r="F285" s="2">
        <v>1</v>
      </c>
      <c r="G285" s="2">
        <v>0</v>
      </c>
      <c r="H285" s="2" t="s">
        <v>49</v>
      </c>
      <c r="I285" s="2" t="s">
        <v>1420</v>
      </c>
      <c r="J285" s="2" t="s">
        <v>1422</v>
      </c>
      <c r="K285" s="2" t="s">
        <v>1423</v>
      </c>
      <c r="L285" s="4">
        <v>13</v>
      </c>
      <c r="M285" s="5">
        <v>6</v>
      </c>
      <c r="N285" s="6">
        <f t="shared" ref="N285:N292" si="25">L285*M285</f>
        <v>78</v>
      </c>
      <c r="O285" s="2" t="s">
        <v>51</v>
      </c>
      <c r="P285" s="7">
        <v>0.15384600000000001</v>
      </c>
      <c r="S285" s="6">
        <f t="shared" ref="S285:S292" si="26">IF(N285&lt;&gt;"",N285,"")</f>
        <v>78</v>
      </c>
    </row>
    <row r="286" spans="1:19" ht="15" customHeight="1" x14ac:dyDescent="0.3">
      <c r="A286" s="2" t="s">
        <v>1424</v>
      </c>
      <c r="B286" s="2" t="s">
        <v>1425</v>
      </c>
      <c r="C286" s="2" t="s">
        <v>1426</v>
      </c>
      <c r="D286" s="2" t="s">
        <v>1423</v>
      </c>
      <c r="E286" s="2">
        <v>1</v>
      </c>
      <c r="F286" s="2">
        <v>0</v>
      </c>
      <c r="G286" s="2">
        <v>0</v>
      </c>
      <c r="H286" s="2" t="s">
        <v>49</v>
      </c>
      <c r="I286" s="2" t="s">
        <v>1425</v>
      </c>
      <c r="J286" s="2" t="s">
        <v>1427</v>
      </c>
      <c r="K286" s="2" t="s">
        <v>1423</v>
      </c>
      <c r="L286" s="4">
        <v>15</v>
      </c>
      <c r="M286" s="5">
        <v>5.3</v>
      </c>
      <c r="N286" s="6">
        <f t="shared" si="25"/>
        <v>79.5</v>
      </c>
      <c r="O286" s="2" t="s">
        <v>51</v>
      </c>
      <c r="P286" s="7">
        <v>0.33333299999999999</v>
      </c>
      <c r="S286" s="6">
        <f t="shared" si="26"/>
        <v>79.5</v>
      </c>
    </row>
    <row r="287" spans="1:19" ht="15" customHeight="1" x14ac:dyDescent="0.3">
      <c r="A287" s="2" t="s">
        <v>1428</v>
      </c>
      <c r="B287" s="2" t="s">
        <v>1429</v>
      </c>
      <c r="C287" s="2" t="s">
        <v>1430</v>
      </c>
      <c r="D287" s="2" t="s">
        <v>1423</v>
      </c>
      <c r="E287" s="2">
        <v>1</v>
      </c>
      <c r="F287" s="2">
        <v>1</v>
      </c>
      <c r="G287" s="2">
        <v>0</v>
      </c>
      <c r="H287" s="2" t="s">
        <v>49</v>
      </c>
      <c r="I287" s="2" t="s">
        <v>1429</v>
      </c>
      <c r="J287" s="2" t="s">
        <v>1431</v>
      </c>
      <c r="K287" s="2" t="s">
        <v>1432</v>
      </c>
      <c r="L287" s="4">
        <v>15</v>
      </c>
      <c r="M287" s="5">
        <v>7</v>
      </c>
      <c r="N287" s="6">
        <f t="shared" si="25"/>
        <v>105</v>
      </c>
      <c r="O287" s="2" t="s">
        <v>51</v>
      </c>
      <c r="P287" s="7">
        <v>0.2</v>
      </c>
      <c r="S287" s="6">
        <f t="shared" si="26"/>
        <v>105</v>
      </c>
    </row>
    <row r="288" spans="1:19" ht="15" customHeight="1" x14ac:dyDescent="0.3">
      <c r="A288" s="2" t="s">
        <v>1433</v>
      </c>
      <c r="B288" s="2" t="s">
        <v>1434</v>
      </c>
      <c r="C288" s="2" t="s">
        <v>1435</v>
      </c>
      <c r="D288" s="2" t="s">
        <v>1423</v>
      </c>
      <c r="E288" s="2">
        <v>1</v>
      </c>
      <c r="F288" s="2">
        <v>0</v>
      </c>
      <c r="G288" s="2">
        <v>0</v>
      </c>
      <c r="H288" s="2" t="s">
        <v>49</v>
      </c>
      <c r="I288" s="2" t="s">
        <v>1434</v>
      </c>
      <c r="J288" s="2" t="s">
        <v>1436</v>
      </c>
      <c r="K288" s="2" t="s">
        <v>1423</v>
      </c>
      <c r="L288" s="4">
        <v>16.5</v>
      </c>
      <c r="M288" s="5">
        <v>46</v>
      </c>
      <c r="N288" s="6">
        <f t="shared" si="25"/>
        <v>759</v>
      </c>
      <c r="O288" s="2" t="s">
        <v>51</v>
      </c>
      <c r="P288" s="7">
        <v>0.12878800000000001</v>
      </c>
      <c r="S288" s="6">
        <f t="shared" si="26"/>
        <v>759</v>
      </c>
    </row>
    <row r="289" spans="1:19" ht="15" customHeight="1" x14ac:dyDescent="0.3">
      <c r="A289" s="2" t="s">
        <v>1437</v>
      </c>
      <c r="B289" s="2" t="s">
        <v>1438</v>
      </c>
      <c r="C289" s="2" t="s">
        <v>1439</v>
      </c>
      <c r="D289" s="2" t="s">
        <v>1423</v>
      </c>
      <c r="E289" s="2">
        <v>1</v>
      </c>
      <c r="F289" s="2">
        <v>0</v>
      </c>
      <c r="G289" s="2">
        <v>0</v>
      </c>
      <c r="H289" s="2" t="s">
        <v>49</v>
      </c>
      <c r="I289" s="2" t="s">
        <v>1438</v>
      </c>
      <c r="J289" s="2" t="s">
        <v>1440</v>
      </c>
      <c r="K289" s="2" t="s">
        <v>1432</v>
      </c>
      <c r="L289" s="4">
        <v>6.5</v>
      </c>
      <c r="M289" s="5">
        <v>1.8</v>
      </c>
      <c r="N289" s="6">
        <f t="shared" si="25"/>
        <v>11.700000000000001</v>
      </c>
      <c r="O289" s="2" t="s">
        <v>51</v>
      </c>
      <c r="S289" s="6">
        <f t="shared" si="26"/>
        <v>11.700000000000001</v>
      </c>
    </row>
    <row r="290" spans="1:19" ht="15" customHeight="1" x14ac:dyDescent="0.3">
      <c r="A290" s="2" t="s">
        <v>1441</v>
      </c>
      <c r="B290" s="2" t="s">
        <v>1442</v>
      </c>
      <c r="C290" s="2" t="s">
        <v>1443</v>
      </c>
      <c r="D290" s="2" t="s">
        <v>1423</v>
      </c>
      <c r="E290" s="2">
        <v>1</v>
      </c>
      <c r="F290" s="2">
        <v>1</v>
      </c>
      <c r="G290" s="2">
        <v>1</v>
      </c>
      <c r="H290" s="2" t="s">
        <v>49</v>
      </c>
      <c r="I290" s="2" t="s">
        <v>1442</v>
      </c>
      <c r="J290" s="2" t="s">
        <v>1444</v>
      </c>
      <c r="K290" s="2" t="s">
        <v>1432</v>
      </c>
      <c r="L290" s="4">
        <v>13</v>
      </c>
      <c r="M290" s="5">
        <v>9</v>
      </c>
      <c r="N290" s="6">
        <f t="shared" si="25"/>
        <v>117</v>
      </c>
      <c r="O290" s="2" t="s">
        <v>51</v>
      </c>
      <c r="P290" s="7">
        <v>-0.19230800000000001</v>
      </c>
      <c r="S290" s="6">
        <f t="shared" si="26"/>
        <v>117</v>
      </c>
    </row>
    <row r="291" spans="1:19" ht="15" customHeight="1" x14ac:dyDescent="0.3">
      <c r="A291" s="2" t="s">
        <v>1445</v>
      </c>
      <c r="B291" s="2" t="s">
        <v>1446</v>
      </c>
      <c r="C291" s="2" t="s">
        <v>1447</v>
      </c>
      <c r="D291" s="2" t="s">
        <v>1423</v>
      </c>
      <c r="E291" s="2">
        <v>1</v>
      </c>
      <c r="F291" s="2">
        <v>1</v>
      </c>
      <c r="G291" s="2">
        <v>0</v>
      </c>
      <c r="H291" s="2" t="s">
        <v>49</v>
      </c>
      <c r="I291" s="2" t="s">
        <v>1448</v>
      </c>
      <c r="J291" s="2" t="s">
        <v>1449</v>
      </c>
      <c r="K291" s="2" t="s">
        <v>1423</v>
      </c>
      <c r="L291" s="4">
        <v>13</v>
      </c>
      <c r="M291" s="5">
        <v>4</v>
      </c>
      <c r="N291" s="6">
        <f t="shared" si="25"/>
        <v>52</v>
      </c>
      <c r="O291" s="2" t="s">
        <v>51</v>
      </c>
      <c r="P291" s="7">
        <v>0.38461499999999998</v>
      </c>
      <c r="S291" s="6">
        <f t="shared" si="26"/>
        <v>52</v>
      </c>
    </row>
    <row r="292" spans="1:19" ht="15" customHeight="1" x14ac:dyDescent="0.3">
      <c r="A292" s="2" t="s">
        <v>1450</v>
      </c>
      <c r="B292" s="2" t="s">
        <v>1451</v>
      </c>
      <c r="C292" s="2" t="s">
        <v>1452</v>
      </c>
      <c r="D292" s="2" t="s">
        <v>1423</v>
      </c>
      <c r="E292" s="2">
        <v>1</v>
      </c>
      <c r="F292" s="2">
        <v>1</v>
      </c>
      <c r="G292" s="2">
        <v>1</v>
      </c>
      <c r="H292" s="2" t="s">
        <v>49</v>
      </c>
      <c r="I292" s="2" t="s">
        <v>1451</v>
      </c>
      <c r="J292" s="2" t="s">
        <v>1453</v>
      </c>
      <c r="K292" s="2" t="s">
        <v>1432</v>
      </c>
      <c r="L292" s="4">
        <v>21</v>
      </c>
      <c r="M292" s="5">
        <v>4</v>
      </c>
      <c r="N292" s="6">
        <f t="shared" si="25"/>
        <v>84</v>
      </c>
      <c r="O292" s="2" t="s">
        <v>51</v>
      </c>
      <c r="P292" s="7">
        <v>1.19048</v>
      </c>
      <c r="S292" s="6">
        <f t="shared" si="26"/>
        <v>84</v>
      </c>
    </row>
    <row r="293" spans="1:19" ht="15" customHeight="1" x14ac:dyDescent="0.3">
      <c r="A293" s="2" t="s">
        <v>1454</v>
      </c>
      <c r="B293" s="2" t="s">
        <v>1455</v>
      </c>
      <c r="C293" s="2" t="s">
        <v>1456</v>
      </c>
      <c r="D293" s="2" t="s">
        <v>1423</v>
      </c>
      <c r="E293" s="2">
        <v>1</v>
      </c>
      <c r="F293" s="2">
        <v>1</v>
      </c>
      <c r="G293" s="2">
        <v>1</v>
      </c>
      <c r="H293" s="8" t="s">
        <v>67</v>
      </c>
      <c r="I293" s="2" t="s">
        <v>1457</v>
      </c>
      <c r="J293" s="2" t="s">
        <v>1458</v>
      </c>
      <c r="R293" s="9">
        <v>135</v>
      </c>
      <c r="S293" s="6">
        <f>R293</f>
        <v>135</v>
      </c>
    </row>
    <row r="294" spans="1:19" ht="15" customHeight="1" x14ac:dyDescent="0.3">
      <c r="A294" s="2" t="s">
        <v>1459</v>
      </c>
      <c r="B294" s="2" t="s">
        <v>1460</v>
      </c>
      <c r="C294" s="2" t="s">
        <v>1461</v>
      </c>
      <c r="D294" s="2" t="s">
        <v>1423</v>
      </c>
      <c r="E294" s="2">
        <v>1</v>
      </c>
      <c r="F294" s="2">
        <v>1</v>
      </c>
      <c r="G294" s="2">
        <v>0</v>
      </c>
      <c r="H294" s="2" t="s">
        <v>49</v>
      </c>
      <c r="I294" s="2" t="s">
        <v>1462</v>
      </c>
      <c r="J294" s="2" t="s">
        <v>1463</v>
      </c>
      <c r="K294" s="2" t="s">
        <v>1432</v>
      </c>
      <c r="L294" s="4">
        <v>11</v>
      </c>
      <c r="M294" s="5">
        <v>4.5999999999999996</v>
      </c>
      <c r="N294" s="6">
        <f>L294*M294</f>
        <v>50.599999999999994</v>
      </c>
      <c r="O294" s="2" t="s">
        <v>51</v>
      </c>
      <c r="P294" s="7">
        <v>2.8409099999999999E-3</v>
      </c>
      <c r="S294" s="6">
        <f t="shared" ref="S294:S301" si="27">IF(N294&lt;&gt;"",N294,"")</f>
        <v>50.599999999999994</v>
      </c>
    </row>
    <row r="295" spans="1:19" ht="15" customHeight="1" x14ac:dyDescent="0.3">
      <c r="A295" s="2" t="s">
        <v>1464</v>
      </c>
      <c r="B295" s="2" t="s">
        <v>1465</v>
      </c>
      <c r="C295" s="2" t="s">
        <v>1466</v>
      </c>
      <c r="D295" s="2" t="s">
        <v>1423</v>
      </c>
      <c r="E295" s="2">
        <v>1</v>
      </c>
      <c r="F295" s="2">
        <v>1</v>
      </c>
      <c r="G295" s="2">
        <v>0</v>
      </c>
      <c r="H295" s="2" t="s">
        <v>49</v>
      </c>
      <c r="I295" s="2" t="s">
        <v>1465</v>
      </c>
      <c r="J295" s="2" t="s">
        <v>1467</v>
      </c>
      <c r="K295" s="2" t="s">
        <v>1432</v>
      </c>
      <c r="L295" s="4">
        <v>17</v>
      </c>
      <c r="M295" s="5">
        <v>4.4000000000000004</v>
      </c>
      <c r="N295" s="6">
        <f>L295*M295</f>
        <v>74.800000000000011</v>
      </c>
      <c r="O295" s="2" t="s">
        <v>51</v>
      </c>
      <c r="P295" s="7">
        <v>0.47058800000000001</v>
      </c>
      <c r="S295" s="6">
        <f t="shared" si="27"/>
        <v>74.800000000000011</v>
      </c>
    </row>
    <row r="296" spans="1:19" ht="15" customHeight="1" x14ac:dyDescent="0.3">
      <c r="A296" s="2" t="s">
        <v>1468</v>
      </c>
      <c r="B296" s="2" t="s">
        <v>1469</v>
      </c>
      <c r="C296" s="2" t="s">
        <v>1470</v>
      </c>
      <c r="D296" s="2" t="s">
        <v>1432</v>
      </c>
      <c r="E296" s="2">
        <v>1</v>
      </c>
      <c r="F296" s="2">
        <v>1</v>
      </c>
      <c r="G296" s="2">
        <v>0</v>
      </c>
      <c r="H296" s="2" t="s">
        <v>49</v>
      </c>
      <c r="I296" s="2" t="s">
        <v>1469</v>
      </c>
      <c r="J296" s="2" t="s">
        <v>1471</v>
      </c>
      <c r="K296" s="2" t="s">
        <v>1432</v>
      </c>
      <c r="L296" s="4">
        <v>12</v>
      </c>
      <c r="M296" s="5">
        <v>5.5</v>
      </c>
      <c r="N296" s="6">
        <f>L296*M296</f>
        <v>66</v>
      </c>
      <c r="O296" s="2" t="s">
        <v>51</v>
      </c>
      <c r="P296" s="7">
        <v>0.1875</v>
      </c>
      <c r="S296" s="6">
        <f t="shared" si="27"/>
        <v>66</v>
      </c>
    </row>
    <row r="297" spans="1:19" ht="15" customHeight="1" x14ac:dyDescent="0.3">
      <c r="A297" s="2" t="s">
        <v>1472</v>
      </c>
      <c r="B297" s="2" t="s">
        <v>1473</v>
      </c>
      <c r="C297" s="2" t="s">
        <v>1474</v>
      </c>
      <c r="D297" s="2" t="s">
        <v>1432</v>
      </c>
      <c r="E297" s="2">
        <v>1</v>
      </c>
      <c r="F297" s="2">
        <v>1</v>
      </c>
      <c r="G297" s="2">
        <v>0</v>
      </c>
      <c r="H297" s="2" t="s">
        <v>49</v>
      </c>
      <c r="I297" s="2" t="s">
        <v>1475</v>
      </c>
      <c r="J297" s="2" t="s">
        <v>1476</v>
      </c>
      <c r="K297" s="2" t="s">
        <v>1432</v>
      </c>
      <c r="L297" s="4">
        <v>14</v>
      </c>
      <c r="M297" s="5">
        <v>7.2</v>
      </c>
      <c r="N297" s="6">
        <f>L297*M297</f>
        <v>100.8</v>
      </c>
      <c r="O297" s="2" t="s">
        <v>51</v>
      </c>
      <c r="P297" s="7">
        <v>0.160714</v>
      </c>
      <c r="S297" s="6">
        <f t="shared" si="27"/>
        <v>100.8</v>
      </c>
    </row>
    <row r="298" spans="1:19" ht="15" customHeight="1" x14ac:dyDescent="0.3">
      <c r="A298" s="2" t="s">
        <v>1477</v>
      </c>
      <c r="B298" s="2" t="s">
        <v>1478</v>
      </c>
      <c r="C298" s="2" t="s">
        <v>1479</v>
      </c>
      <c r="D298" s="2" t="s">
        <v>1432</v>
      </c>
      <c r="E298" s="2">
        <v>2</v>
      </c>
      <c r="F298" s="2">
        <v>0</v>
      </c>
      <c r="G298" s="2">
        <v>0</v>
      </c>
      <c r="H298" s="2" t="s">
        <v>115</v>
      </c>
      <c r="I298" s="2" t="s">
        <v>1480</v>
      </c>
      <c r="J298" s="2" t="s">
        <v>1477</v>
      </c>
      <c r="S298" s="6" t="str">
        <f t="shared" si="27"/>
        <v/>
      </c>
    </row>
    <row r="299" spans="1:19" ht="15" customHeight="1" x14ac:dyDescent="0.3">
      <c r="A299" s="2" t="s">
        <v>1481</v>
      </c>
      <c r="B299" s="2" t="s">
        <v>1482</v>
      </c>
      <c r="C299" s="2" t="s">
        <v>1483</v>
      </c>
      <c r="D299" s="2" t="s">
        <v>1432</v>
      </c>
      <c r="E299" s="2">
        <v>1</v>
      </c>
      <c r="F299" s="2">
        <v>1</v>
      </c>
      <c r="G299" s="2">
        <v>0</v>
      </c>
      <c r="H299" s="2" t="s">
        <v>49</v>
      </c>
      <c r="I299" s="2" t="s">
        <v>1482</v>
      </c>
      <c r="J299" s="2" t="s">
        <v>1484</v>
      </c>
      <c r="K299" s="2" t="s">
        <v>1485</v>
      </c>
      <c r="L299" s="4">
        <v>15</v>
      </c>
      <c r="M299" s="5">
        <v>5</v>
      </c>
      <c r="N299" s="6">
        <f>L299*M299</f>
        <v>75</v>
      </c>
      <c r="O299" s="2" t="s">
        <v>51</v>
      </c>
      <c r="P299" s="7">
        <v>0.26666699999999999</v>
      </c>
      <c r="S299" s="6">
        <f t="shared" si="27"/>
        <v>75</v>
      </c>
    </row>
    <row r="300" spans="1:19" ht="15" customHeight="1" x14ac:dyDescent="0.3">
      <c r="A300" s="2" t="s">
        <v>1486</v>
      </c>
      <c r="B300" s="2" t="s">
        <v>1487</v>
      </c>
      <c r="C300" s="2" t="s">
        <v>1488</v>
      </c>
      <c r="D300" s="2" t="s">
        <v>1432</v>
      </c>
      <c r="E300" s="2">
        <v>1</v>
      </c>
      <c r="F300" s="2">
        <v>1</v>
      </c>
      <c r="G300" s="2">
        <v>0</v>
      </c>
      <c r="H300" s="2" t="s">
        <v>49</v>
      </c>
      <c r="I300" s="2" t="s">
        <v>1487</v>
      </c>
      <c r="J300" s="2" t="s">
        <v>1489</v>
      </c>
      <c r="K300" s="2" t="s">
        <v>1485</v>
      </c>
      <c r="L300" s="4">
        <v>11</v>
      </c>
      <c r="M300" s="5">
        <v>3</v>
      </c>
      <c r="N300" s="6">
        <f>L300*M300</f>
        <v>33</v>
      </c>
      <c r="O300" s="2" t="s">
        <v>51</v>
      </c>
      <c r="P300" s="7">
        <v>-3.40909E-2</v>
      </c>
      <c r="S300" s="6">
        <f t="shared" si="27"/>
        <v>33</v>
      </c>
    </row>
    <row r="301" spans="1:19" ht="15" customHeight="1" x14ac:dyDescent="0.3">
      <c r="A301" s="2" t="s">
        <v>1490</v>
      </c>
      <c r="B301" s="2" t="s">
        <v>1491</v>
      </c>
      <c r="C301" s="2" t="s">
        <v>1492</v>
      </c>
      <c r="D301" s="2" t="s">
        <v>1485</v>
      </c>
      <c r="E301" s="2">
        <v>1</v>
      </c>
      <c r="F301" s="2">
        <v>0</v>
      </c>
      <c r="G301" s="2">
        <v>0</v>
      </c>
      <c r="H301" s="2" t="s">
        <v>55</v>
      </c>
      <c r="I301" s="2" t="s">
        <v>1493</v>
      </c>
      <c r="J301" s="2" t="s">
        <v>1494</v>
      </c>
      <c r="K301" s="2" t="s">
        <v>1485</v>
      </c>
      <c r="L301" s="4">
        <v>13</v>
      </c>
      <c r="M301" s="5">
        <v>8</v>
      </c>
      <c r="N301" s="6">
        <f>L301*M301</f>
        <v>104</v>
      </c>
      <c r="O301" s="2" t="s">
        <v>51</v>
      </c>
      <c r="P301" s="7">
        <v>0.574519</v>
      </c>
      <c r="S301" s="6">
        <f t="shared" si="27"/>
        <v>104</v>
      </c>
    </row>
    <row r="302" spans="1:19" ht="15" customHeight="1" x14ac:dyDescent="0.3">
      <c r="A302" s="2" t="s">
        <v>1495</v>
      </c>
      <c r="B302" s="2" t="s">
        <v>1496</v>
      </c>
      <c r="C302" s="2" t="s">
        <v>1497</v>
      </c>
      <c r="D302" s="2" t="s">
        <v>1485</v>
      </c>
      <c r="E302" s="2">
        <v>1</v>
      </c>
      <c r="F302" s="2">
        <v>1</v>
      </c>
      <c r="G302" s="2">
        <v>0</v>
      </c>
      <c r="H302" s="8" t="s">
        <v>67</v>
      </c>
      <c r="I302" s="2" t="s">
        <v>1498</v>
      </c>
      <c r="J302" s="2" t="s">
        <v>1495</v>
      </c>
      <c r="K302" s="2" t="s">
        <v>1485</v>
      </c>
      <c r="R302" s="9">
        <v>135</v>
      </c>
      <c r="S302" s="6">
        <f>R302</f>
        <v>135</v>
      </c>
    </row>
    <row r="303" spans="1:19" ht="15" customHeight="1" x14ac:dyDescent="0.3">
      <c r="A303" s="2" t="s">
        <v>1499</v>
      </c>
      <c r="B303" s="2" t="s">
        <v>1500</v>
      </c>
      <c r="C303" s="2" t="s">
        <v>1501</v>
      </c>
      <c r="D303" s="2" t="s">
        <v>1485</v>
      </c>
      <c r="E303" s="2">
        <v>1</v>
      </c>
      <c r="F303" s="2">
        <v>1</v>
      </c>
      <c r="G303" s="2">
        <v>0</v>
      </c>
      <c r="H303" s="2" t="s">
        <v>49</v>
      </c>
      <c r="I303" s="2" t="s">
        <v>1500</v>
      </c>
      <c r="J303" s="2" t="s">
        <v>1502</v>
      </c>
      <c r="K303" s="2" t="s">
        <v>1432</v>
      </c>
      <c r="L303" s="4">
        <v>8</v>
      </c>
      <c r="M303" s="5">
        <v>8</v>
      </c>
      <c r="N303" s="6">
        <f t="shared" ref="N303:N308" si="28">L303*M303</f>
        <v>64</v>
      </c>
      <c r="O303" s="2" t="s">
        <v>51</v>
      </c>
      <c r="P303" s="7">
        <v>3.90625E-3</v>
      </c>
      <c r="S303" s="6">
        <f t="shared" ref="S303:S308" si="29">IF(N303&lt;&gt;"",N303,"")</f>
        <v>64</v>
      </c>
    </row>
    <row r="304" spans="1:19" ht="15" customHeight="1" x14ac:dyDescent="0.3">
      <c r="A304" s="2" t="s">
        <v>1503</v>
      </c>
      <c r="B304" s="2" t="s">
        <v>1504</v>
      </c>
      <c r="C304" s="2" t="s">
        <v>1505</v>
      </c>
      <c r="D304" s="2" t="s">
        <v>1485</v>
      </c>
      <c r="E304" s="2">
        <v>1</v>
      </c>
      <c r="F304" s="2">
        <v>0</v>
      </c>
      <c r="G304" s="2">
        <v>0</v>
      </c>
      <c r="H304" s="2" t="s">
        <v>49</v>
      </c>
      <c r="I304" s="2" t="s">
        <v>1504</v>
      </c>
      <c r="J304" s="2" t="s">
        <v>1506</v>
      </c>
      <c r="K304" s="2" t="s">
        <v>1485</v>
      </c>
      <c r="L304" s="4">
        <v>10</v>
      </c>
      <c r="M304" s="5">
        <v>6</v>
      </c>
      <c r="N304" s="6">
        <f t="shared" si="28"/>
        <v>60</v>
      </c>
      <c r="O304" s="2" t="s">
        <v>51</v>
      </c>
      <c r="P304" s="7">
        <v>-0.15</v>
      </c>
      <c r="S304" s="6">
        <f t="shared" si="29"/>
        <v>60</v>
      </c>
    </row>
    <row r="305" spans="1:19" ht="15" customHeight="1" x14ac:dyDescent="0.3">
      <c r="A305" s="2" t="s">
        <v>1507</v>
      </c>
      <c r="B305" s="2" t="s">
        <v>1508</v>
      </c>
      <c r="C305" s="2" t="s">
        <v>1509</v>
      </c>
      <c r="D305" s="2" t="s">
        <v>1485</v>
      </c>
      <c r="E305" s="2">
        <v>1</v>
      </c>
      <c r="F305" s="2">
        <v>1</v>
      </c>
      <c r="G305" s="2">
        <v>0</v>
      </c>
      <c r="H305" s="2" t="s">
        <v>49</v>
      </c>
      <c r="I305" s="2" t="s">
        <v>1510</v>
      </c>
      <c r="J305" s="2" t="s">
        <v>1511</v>
      </c>
      <c r="K305" s="2" t="s">
        <v>1485</v>
      </c>
      <c r="L305" s="4">
        <v>16</v>
      </c>
      <c r="M305" s="5">
        <v>4</v>
      </c>
      <c r="N305" s="6">
        <f t="shared" si="28"/>
        <v>64</v>
      </c>
      <c r="O305" s="2" t="s">
        <v>51</v>
      </c>
      <c r="P305" s="7">
        <v>0.6875</v>
      </c>
      <c r="S305" s="6">
        <f t="shared" si="29"/>
        <v>64</v>
      </c>
    </row>
    <row r="306" spans="1:19" ht="15" customHeight="1" x14ac:dyDescent="0.3">
      <c r="A306" s="2" t="s">
        <v>1512</v>
      </c>
      <c r="B306" s="2" t="s">
        <v>1513</v>
      </c>
      <c r="C306" s="2" t="s">
        <v>1514</v>
      </c>
      <c r="D306" s="2" t="s">
        <v>1515</v>
      </c>
      <c r="E306" s="2">
        <v>1</v>
      </c>
      <c r="F306" s="2">
        <v>1</v>
      </c>
      <c r="G306" s="2">
        <v>0</v>
      </c>
      <c r="H306" s="2" t="s">
        <v>49</v>
      </c>
      <c r="I306" s="2" t="s">
        <v>1516</v>
      </c>
      <c r="J306" s="2" t="s">
        <v>1517</v>
      </c>
      <c r="K306" s="2" t="s">
        <v>1518</v>
      </c>
      <c r="L306" s="4">
        <v>11</v>
      </c>
      <c r="M306" s="5">
        <v>8.4</v>
      </c>
      <c r="N306" s="6">
        <f t="shared" si="28"/>
        <v>92.4</v>
      </c>
      <c r="O306" s="2" t="s">
        <v>51</v>
      </c>
      <c r="P306" s="7">
        <v>3.40909E-2</v>
      </c>
      <c r="S306" s="6">
        <f t="shared" si="29"/>
        <v>92.4</v>
      </c>
    </row>
    <row r="307" spans="1:19" ht="15" customHeight="1" x14ac:dyDescent="0.3">
      <c r="A307" s="2" t="s">
        <v>1519</v>
      </c>
      <c r="B307" s="2" t="s">
        <v>1520</v>
      </c>
      <c r="C307" s="2" t="s">
        <v>1521</v>
      </c>
      <c r="D307" s="2" t="s">
        <v>1515</v>
      </c>
      <c r="E307" s="2">
        <v>1</v>
      </c>
      <c r="F307" s="2">
        <v>1</v>
      </c>
      <c r="G307" s="2">
        <v>0</v>
      </c>
      <c r="H307" s="2" t="s">
        <v>49</v>
      </c>
      <c r="I307" s="2" t="s">
        <v>1520</v>
      </c>
      <c r="J307" s="2" t="s">
        <v>1522</v>
      </c>
      <c r="K307" s="2" t="s">
        <v>1518</v>
      </c>
      <c r="L307" s="4">
        <v>16</v>
      </c>
      <c r="M307" s="5">
        <v>6</v>
      </c>
      <c r="N307" s="6">
        <f t="shared" si="28"/>
        <v>96</v>
      </c>
      <c r="O307" s="2" t="s">
        <v>51</v>
      </c>
      <c r="P307" s="7">
        <v>0.12109399999999999</v>
      </c>
      <c r="S307" s="6">
        <f t="shared" si="29"/>
        <v>96</v>
      </c>
    </row>
    <row r="308" spans="1:19" ht="15" customHeight="1" x14ac:dyDescent="0.3">
      <c r="A308" s="2" t="s">
        <v>1523</v>
      </c>
      <c r="B308" s="2" t="s">
        <v>1524</v>
      </c>
      <c r="C308" s="2" t="s">
        <v>1525</v>
      </c>
      <c r="D308" s="2" t="s">
        <v>1515</v>
      </c>
      <c r="E308" s="2">
        <v>1</v>
      </c>
      <c r="F308" s="2">
        <v>0</v>
      </c>
      <c r="G308" s="2">
        <v>1</v>
      </c>
      <c r="H308" s="2" t="s">
        <v>49</v>
      </c>
      <c r="I308" s="2" t="s">
        <v>1526</v>
      </c>
      <c r="J308" s="2" t="s">
        <v>1527</v>
      </c>
      <c r="K308" s="2" t="s">
        <v>1518</v>
      </c>
      <c r="L308" s="4">
        <v>8</v>
      </c>
      <c r="M308" s="5">
        <v>25</v>
      </c>
      <c r="N308" s="6">
        <f t="shared" si="28"/>
        <v>200</v>
      </c>
      <c r="O308" s="2" t="s">
        <v>51</v>
      </c>
      <c r="P308" s="7">
        <v>-7.8125E-3</v>
      </c>
      <c r="S308" s="6">
        <f t="shared" si="29"/>
        <v>200</v>
      </c>
    </row>
    <row r="309" spans="1:19" ht="15" customHeight="1" x14ac:dyDescent="0.3">
      <c r="A309" s="2" t="s">
        <v>1528</v>
      </c>
      <c r="B309" s="2" t="s">
        <v>1529</v>
      </c>
      <c r="C309" s="2" t="s">
        <v>1530</v>
      </c>
      <c r="D309" s="2" t="s">
        <v>1515</v>
      </c>
      <c r="E309" s="2">
        <v>1</v>
      </c>
      <c r="F309" s="2">
        <v>1</v>
      </c>
      <c r="G309" s="2">
        <v>0</v>
      </c>
      <c r="H309" s="8" t="s">
        <v>67</v>
      </c>
      <c r="I309" s="2" t="s">
        <v>1531</v>
      </c>
      <c r="J309" s="2" t="s">
        <v>1532</v>
      </c>
      <c r="R309" s="9">
        <v>135</v>
      </c>
      <c r="S309" s="6">
        <f>R309</f>
        <v>135</v>
      </c>
    </row>
    <row r="310" spans="1:19" ht="15" customHeight="1" x14ac:dyDescent="0.3">
      <c r="A310" s="2" t="s">
        <v>1533</v>
      </c>
      <c r="B310" s="2" t="s">
        <v>1534</v>
      </c>
      <c r="C310" s="2" t="s">
        <v>1535</v>
      </c>
      <c r="D310" s="2" t="s">
        <v>1515</v>
      </c>
      <c r="E310" s="2">
        <v>1</v>
      </c>
      <c r="F310" s="2">
        <v>1</v>
      </c>
      <c r="G310" s="2">
        <v>0</v>
      </c>
      <c r="H310" s="2" t="s">
        <v>49</v>
      </c>
      <c r="I310" s="2" t="s">
        <v>1536</v>
      </c>
      <c r="J310" s="2" t="s">
        <v>1537</v>
      </c>
      <c r="K310" s="2" t="s">
        <v>1518</v>
      </c>
      <c r="L310" s="4">
        <v>15</v>
      </c>
      <c r="M310" s="5">
        <v>3.5</v>
      </c>
      <c r="N310" s="6">
        <f>L310*M310</f>
        <v>52.5</v>
      </c>
      <c r="O310" s="2" t="s">
        <v>51</v>
      </c>
      <c r="P310" s="7">
        <v>6.6666699999999995E-2</v>
      </c>
      <c r="S310" s="6">
        <f>IF(N310&lt;&gt;"",N310,"")</f>
        <v>52.5</v>
      </c>
    </row>
    <row r="311" spans="1:19" ht="15" customHeight="1" x14ac:dyDescent="0.3">
      <c r="A311" s="2" t="s">
        <v>1538</v>
      </c>
      <c r="B311" s="2" t="s">
        <v>1539</v>
      </c>
      <c r="C311" s="2" t="s">
        <v>1540</v>
      </c>
      <c r="D311" s="2" t="s">
        <v>1518</v>
      </c>
      <c r="E311" s="2">
        <v>1</v>
      </c>
      <c r="F311" s="2">
        <v>0</v>
      </c>
      <c r="G311" s="2">
        <v>0</v>
      </c>
      <c r="H311" s="2" t="s">
        <v>49</v>
      </c>
      <c r="I311" s="2" t="s">
        <v>1541</v>
      </c>
      <c r="J311" s="2" t="s">
        <v>1542</v>
      </c>
      <c r="K311" s="2" t="s">
        <v>1543</v>
      </c>
      <c r="L311" s="4">
        <v>12</v>
      </c>
      <c r="M311" s="5">
        <v>10</v>
      </c>
      <c r="N311" s="6">
        <f>L311*M311</f>
        <v>120</v>
      </c>
      <c r="O311" s="2" t="s">
        <v>51</v>
      </c>
      <c r="P311" s="7">
        <v>8.3333299999999999E-2</v>
      </c>
      <c r="S311" s="6">
        <f>IF(N311&lt;&gt;"",N311,"")</f>
        <v>120</v>
      </c>
    </row>
    <row r="312" spans="1:19" ht="15" customHeight="1" x14ac:dyDescent="0.3">
      <c r="A312" s="2" t="s">
        <v>1544</v>
      </c>
      <c r="B312" s="2" t="s">
        <v>1545</v>
      </c>
      <c r="C312" s="2" t="s">
        <v>1546</v>
      </c>
      <c r="D312" s="2" t="s">
        <v>1518</v>
      </c>
      <c r="E312" s="2">
        <v>1</v>
      </c>
      <c r="F312" s="2">
        <v>1</v>
      </c>
      <c r="G312" s="2">
        <v>1</v>
      </c>
      <c r="H312" s="8" t="s">
        <v>67</v>
      </c>
      <c r="I312" s="2" t="s">
        <v>1547</v>
      </c>
      <c r="J312" s="2" t="s">
        <v>1548</v>
      </c>
      <c r="K312" s="2" t="s">
        <v>1518</v>
      </c>
      <c r="R312" s="9">
        <v>135</v>
      </c>
      <c r="S312" s="6">
        <f>R312</f>
        <v>135</v>
      </c>
    </row>
    <row r="313" spans="1:19" ht="15" customHeight="1" x14ac:dyDescent="0.3">
      <c r="A313" s="2" t="s">
        <v>1549</v>
      </c>
      <c r="B313" s="2" t="s">
        <v>1550</v>
      </c>
      <c r="C313" s="2" t="s">
        <v>1551</v>
      </c>
      <c r="D313" s="2" t="s">
        <v>1518</v>
      </c>
      <c r="E313" s="2">
        <v>1</v>
      </c>
      <c r="F313" s="2">
        <v>1</v>
      </c>
      <c r="G313" s="2">
        <v>0</v>
      </c>
      <c r="H313" s="2" t="s">
        <v>49</v>
      </c>
      <c r="I313" s="2" t="s">
        <v>1550</v>
      </c>
      <c r="J313" s="2" t="s">
        <v>1552</v>
      </c>
      <c r="K313" s="2" t="s">
        <v>1543</v>
      </c>
      <c r="L313" s="4">
        <v>9</v>
      </c>
      <c r="M313" s="5">
        <v>4.75</v>
      </c>
      <c r="N313" s="6">
        <f>L313*M313</f>
        <v>42.75</v>
      </c>
      <c r="O313" s="2" t="s">
        <v>51</v>
      </c>
      <c r="P313" s="7">
        <v>-2.7777799999999998E-2</v>
      </c>
      <c r="S313" s="6">
        <f>IF(N313&lt;&gt;"",N313,"")</f>
        <v>42.75</v>
      </c>
    </row>
    <row r="314" spans="1:19" ht="15" customHeight="1" x14ac:dyDescent="0.3">
      <c r="A314" s="2" t="s">
        <v>1553</v>
      </c>
      <c r="B314" s="2" t="s">
        <v>1554</v>
      </c>
      <c r="C314" s="2" t="s">
        <v>1555</v>
      </c>
      <c r="D314" s="2" t="s">
        <v>1518</v>
      </c>
      <c r="E314" s="2">
        <v>1</v>
      </c>
      <c r="F314" s="2">
        <v>1</v>
      </c>
      <c r="G314" s="2">
        <v>0</v>
      </c>
      <c r="H314" s="2" t="s">
        <v>49</v>
      </c>
      <c r="I314" s="2" t="s">
        <v>1554</v>
      </c>
      <c r="J314" s="2" t="s">
        <v>1556</v>
      </c>
      <c r="K314" s="2" t="s">
        <v>1518</v>
      </c>
      <c r="L314" s="4">
        <v>17</v>
      </c>
      <c r="M314" s="5">
        <v>4.7</v>
      </c>
      <c r="N314" s="6">
        <f>L314*M314</f>
        <v>79.900000000000006</v>
      </c>
      <c r="O314" s="2" t="s">
        <v>51</v>
      </c>
      <c r="S314" s="6">
        <f>IF(N314&lt;&gt;"",N314,"")</f>
        <v>79.900000000000006</v>
      </c>
    </row>
    <row r="315" spans="1:19" ht="15" customHeight="1" x14ac:dyDescent="0.3">
      <c r="A315" s="2" t="s">
        <v>1557</v>
      </c>
      <c r="B315" s="2" t="s">
        <v>1558</v>
      </c>
      <c r="C315" s="2" t="s">
        <v>1559</v>
      </c>
      <c r="D315" s="2" t="s">
        <v>1543</v>
      </c>
      <c r="E315" s="2">
        <v>1</v>
      </c>
      <c r="F315" s="2">
        <v>0</v>
      </c>
      <c r="G315" s="2">
        <v>0</v>
      </c>
      <c r="H315" s="2" t="s">
        <v>49</v>
      </c>
      <c r="I315" s="2" t="s">
        <v>1560</v>
      </c>
      <c r="J315" s="2" t="s">
        <v>1561</v>
      </c>
      <c r="K315" s="2" t="s">
        <v>1543</v>
      </c>
      <c r="L315" s="4">
        <v>10</v>
      </c>
      <c r="M315" s="5">
        <v>3</v>
      </c>
      <c r="N315" s="6">
        <f>L315*M315</f>
        <v>30</v>
      </c>
      <c r="O315" s="2" t="s">
        <v>51</v>
      </c>
      <c r="P315" s="7">
        <v>0</v>
      </c>
      <c r="S315" s="6">
        <f>IF(N315&lt;&gt;"",N315,"")</f>
        <v>30</v>
      </c>
    </row>
    <row r="316" spans="1:19" ht="15" customHeight="1" x14ac:dyDescent="0.3">
      <c r="A316" s="2" t="s">
        <v>1562</v>
      </c>
      <c r="B316" s="2" t="s">
        <v>1563</v>
      </c>
      <c r="C316" s="2" t="s">
        <v>1564</v>
      </c>
      <c r="D316" s="2" t="s">
        <v>1543</v>
      </c>
      <c r="E316" s="2">
        <v>1</v>
      </c>
      <c r="F316" s="2">
        <v>1</v>
      </c>
      <c r="G316" s="2">
        <v>0</v>
      </c>
      <c r="H316" s="2" t="s">
        <v>49</v>
      </c>
      <c r="I316" s="2" t="s">
        <v>1563</v>
      </c>
      <c r="J316" s="2" t="s">
        <v>1565</v>
      </c>
      <c r="K316" s="2" t="s">
        <v>1543</v>
      </c>
      <c r="L316" s="4">
        <v>10</v>
      </c>
      <c r="M316" s="5">
        <v>3</v>
      </c>
      <c r="N316" s="6">
        <f>L316*M316</f>
        <v>30</v>
      </c>
      <c r="O316" s="2" t="s">
        <v>51</v>
      </c>
      <c r="S316" s="6">
        <f>IF(N316&lt;&gt;"",N316,"")</f>
        <v>30</v>
      </c>
    </row>
    <row r="317" spans="1:19" ht="15" customHeight="1" x14ac:dyDescent="0.3">
      <c r="A317" s="2" t="s">
        <v>1566</v>
      </c>
      <c r="B317" s="2" t="s">
        <v>1567</v>
      </c>
      <c r="C317" s="2" t="s">
        <v>1568</v>
      </c>
      <c r="D317" s="2" t="s">
        <v>1543</v>
      </c>
      <c r="E317" s="2">
        <v>1</v>
      </c>
      <c r="F317" s="2">
        <v>0</v>
      </c>
      <c r="G317" s="2">
        <v>0</v>
      </c>
      <c r="H317" s="8" t="s">
        <v>67</v>
      </c>
      <c r="I317" s="2" t="s">
        <v>1569</v>
      </c>
      <c r="J317" s="2" t="s">
        <v>1570</v>
      </c>
      <c r="K317" s="2" t="s">
        <v>1543</v>
      </c>
      <c r="R317" s="9">
        <v>135</v>
      </c>
      <c r="S317" s="6">
        <f>R317</f>
        <v>135</v>
      </c>
    </row>
    <row r="318" spans="1:19" ht="15" customHeight="1" x14ac:dyDescent="0.3">
      <c r="A318" s="2" t="s">
        <v>1571</v>
      </c>
      <c r="B318" s="2" t="s">
        <v>1572</v>
      </c>
      <c r="C318" s="2" t="s">
        <v>1573</v>
      </c>
      <c r="D318" s="2" t="s">
        <v>1543</v>
      </c>
      <c r="E318" s="2">
        <v>1</v>
      </c>
      <c r="F318" s="2">
        <v>1</v>
      </c>
      <c r="G318" s="2">
        <v>1</v>
      </c>
      <c r="H318" s="8" t="s">
        <v>67</v>
      </c>
      <c r="I318" s="2" t="s">
        <v>1574</v>
      </c>
      <c r="J318" s="2" t="s">
        <v>1575</v>
      </c>
      <c r="R318" s="9">
        <v>135</v>
      </c>
      <c r="S318" s="6">
        <f>R318</f>
        <v>135</v>
      </c>
    </row>
    <row r="319" spans="1:19" ht="15" customHeight="1" x14ac:dyDescent="0.3">
      <c r="A319" s="2" t="s">
        <v>1576</v>
      </c>
      <c r="B319" s="2" t="s">
        <v>1577</v>
      </c>
      <c r="C319" s="2" t="s">
        <v>1578</v>
      </c>
      <c r="D319" s="2" t="s">
        <v>1543</v>
      </c>
      <c r="E319" s="2">
        <v>1</v>
      </c>
      <c r="F319" s="2">
        <v>1</v>
      </c>
      <c r="G319" s="2">
        <v>1</v>
      </c>
      <c r="H319" s="2" t="s">
        <v>49</v>
      </c>
      <c r="I319" s="2" t="s">
        <v>1579</v>
      </c>
      <c r="J319" s="2" t="s">
        <v>1580</v>
      </c>
      <c r="K319" s="2" t="s">
        <v>1581</v>
      </c>
      <c r="L319" s="4">
        <v>9</v>
      </c>
      <c r="M319" s="5">
        <v>5</v>
      </c>
      <c r="N319" s="6">
        <f t="shared" ref="N319:N326" si="30">L319*M319</f>
        <v>45</v>
      </c>
      <c r="O319" s="2" t="s">
        <v>51</v>
      </c>
      <c r="P319" s="7">
        <v>0</v>
      </c>
      <c r="S319" s="6">
        <f t="shared" ref="S319:S326" si="31">IF(N319&lt;&gt;"",N319,"")</f>
        <v>45</v>
      </c>
    </row>
    <row r="320" spans="1:19" ht="15" customHeight="1" x14ac:dyDescent="0.3">
      <c r="A320" s="2" t="s">
        <v>1582</v>
      </c>
      <c r="B320" s="2" t="s">
        <v>1583</v>
      </c>
      <c r="C320" s="2" t="s">
        <v>1584</v>
      </c>
      <c r="D320" s="2" t="s">
        <v>1543</v>
      </c>
      <c r="E320" s="2">
        <v>1</v>
      </c>
      <c r="F320" s="2">
        <v>1</v>
      </c>
      <c r="G320" s="2">
        <v>0</v>
      </c>
      <c r="H320" s="2" t="s">
        <v>49</v>
      </c>
      <c r="I320" s="2" t="s">
        <v>1585</v>
      </c>
      <c r="J320" s="2" t="s">
        <v>1586</v>
      </c>
      <c r="K320" s="2" t="s">
        <v>1581</v>
      </c>
      <c r="L320" s="4">
        <v>9</v>
      </c>
      <c r="M320" s="5">
        <v>6</v>
      </c>
      <c r="N320" s="6">
        <f t="shared" si="30"/>
        <v>54</v>
      </c>
      <c r="O320" s="2" t="s">
        <v>51</v>
      </c>
      <c r="P320" s="7">
        <v>6.25E-2</v>
      </c>
      <c r="S320" s="6">
        <f t="shared" si="31"/>
        <v>54</v>
      </c>
    </row>
    <row r="321" spans="1:19" ht="15" customHeight="1" x14ac:dyDescent="0.3">
      <c r="A321" s="2" t="s">
        <v>1587</v>
      </c>
      <c r="B321" s="2" t="s">
        <v>1588</v>
      </c>
      <c r="C321" s="2" t="s">
        <v>1589</v>
      </c>
      <c r="D321" s="2" t="s">
        <v>1543</v>
      </c>
      <c r="E321" s="2">
        <v>1</v>
      </c>
      <c r="F321" s="2">
        <v>1</v>
      </c>
      <c r="G321" s="2">
        <v>0</v>
      </c>
      <c r="H321" s="2" t="s">
        <v>49</v>
      </c>
      <c r="I321" s="2" t="s">
        <v>1590</v>
      </c>
      <c r="J321" s="2" t="s">
        <v>1591</v>
      </c>
      <c r="K321" s="2" t="s">
        <v>1543</v>
      </c>
      <c r="L321" s="4">
        <v>8</v>
      </c>
      <c r="M321" s="5">
        <v>6</v>
      </c>
      <c r="N321" s="6">
        <f t="shared" si="30"/>
        <v>48</v>
      </c>
      <c r="O321" s="2" t="s">
        <v>51</v>
      </c>
      <c r="P321" s="7">
        <v>0</v>
      </c>
      <c r="S321" s="6">
        <f t="shared" si="31"/>
        <v>48</v>
      </c>
    </row>
    <row r="322" spans="1:19" ht="15" customHeight="1" x14ac:dyDescent="0.3">
      <c r="A322" s="2" t="s">
        <v>1592</v>
      </c>
      <c r="B322" s="2" t="s">
        <v>1593</v>
      </c>
      <c r="C322" s="2" t="s">
        <v>1594</v>
      </c>
      <c r="D322" s="2" t="s">
        <v>1543</v>
      </c>
      <c r="E322" s="2">
        <v>1</v>
      </c>
      <c r="F322" s="2">
        <v>1</v>
      </c>
      <c r="G322" s="2">
        <v>0</v>
      </c>
      <c r="H322" s="2" t="s">
        <v>49</v>
      </c>
      <c r="I322" s="2" t="s">
        <v>1593</v>
      </c>
      <c r="J322" s="2" t="s">
        <v>1595</v>
      </c>
      <c r="K322" s="2" t="s">
        <v>1543</v>
      </c>
      <c r="L322" s="4">
        <v>16</v>
      </c>
      <c r="M322" s="5">
        <v>7</v>
      </c>
      <c r="N322" s="6">
        <f t="shared" si="30"/>
        <v>112</v>
      </c>
      <c r="O322" s="2" t="s">
        <v>51</v>
      </c>
      <c r="P322" s="7">
        <v>0.6875</v>
      </c>
      <c r="S322" s="6">
        <f t="shared" si="31"/>
        <v>112</v>
      </c>
    </row>
    <row r="323" spans="1:19" ht="15" customHeight="1" x14ac:dyDescent="0.3">
      <c r="A323" s="2" t="s">
        <v>1596</v>
      </c>
      <c r="B323" s="2" t="s">
        <v>1597</v>
      </c>
      <c r="C323" s="2" t="s">
        <v>1598</v>
      </c>
      <c r="D323" s="2" t="s">
        <v>1543</v>
      </c>
      <c r="E323" s="2">
        <v>1</v>
      </c>
      <c r="F323" s="2">
        <v>1</v>
      </c>
      <c r="G323" s="2">
        <v>0</v>
      </c>
      <c r="H323" s="2" t="s">
        <v>49</v>
      </c>
      <c r="I323" s="2" t="s">
        <v>1599</v>
      </c>
      <c r="J323" s="2" t="s">
        <v>1600</v>
      </c>
      <c r="K323" s="2" t="s">
        <v>1543</v>
      </c>
      <c r="L323" s="4">
        <v>11</v>
      </c>
      <c r="M323" s="5">
        <v>5</v>
      </c>
      <c r="N323" s="6">
        <f t="shared" si="30"/>
        <v>55</v>
      </c>
      <c r="O323" s="2" t="s">
        <v>51</v>
      </c>
      <c r="P323" s="7">
        <v>0</v>
      </c>
      <c r="S323" s="6">
        <f t="shared" si="31"/>
        <v>55</v>
      </c>
    </row>
    <row r="324" spans="1:19" ht="15" customHeight="1" x14ac:dyDescent="0.3">
      <c r="A324" s="2" t="s">
        <v>1601</v>
      </c>
      <c r="B324" s="2" t="s">
        <v>1602</v>
      </c>
      <c r="C324" s="2" t="s">
        <v>1603</v>
      </c>
      <c r="D324" s="2" t="s">
        <v>1581</v>
      </c>
      <c r="E324" s="2">
        <v>1</v>
      </c>
      <c r="F324" s="2">
        <v>1</v>
      </c>
      <c r="G324" s="2">
        <v>1</v>
      </c>
      <c r="H324" s="2" t="s">
        <v>49</v>
      </c>
      <c r="I324" s="2" t="s">
        <v>1602</v>
      </c>
      <c r="J324" s="2" t="s">
        <v>1604</v>
      </c>
      <c r="K324" s="2" t="s">
        <v>1605</v>
      </c>
      <c r="L324" s="4">
        <v>12</v>
      </c>
      <c r="M324" s="5">
        <v>20</v>
      </c>
      <c r="N324" s="6">
        <f t="shared" si="30"/>
        <v>240</v>
      </c>
      <c r="O324" s="2" t="s">
        <v>51</v>
      </c>
      <c r="P324" s="7">
        <v>-0.45833299999999999</v>
      </c>
      <c r="S324" s="6">
        <f t="shared" si="31"/>
        <v>240</v>
      </c>
    </row>
    <row r="325" spans="1:19" ht="15" customHeight="1" x14ac:dyDescent="0.3">
      <c r="A325" s="2" t="s">
        <v>1606</v>
      </c>
      <c r="B325" s="2" t="s">
        <v>1607</v>
      </c>
      <c r="C325" s="2" t="s">
        <v>1608</v>
      </c>
      <c r="D325" s="2" t="s">
        <v>1581</v>
      </c>
      <c r="E325" s="2">
        <v>1</v>
      </c>
      <c r="F325" s="2">
        <v>1</v>
      </c>
      <c r="G325" s="2">
        <v>0</v>
      </c>
      <c r="H325" s="2" t="s">
        <v>55</v>
      </c>
      <c r="I325" s="2" t="s">
        <v>1609</v>
      </c>
      <c r="J325" s="2" t="s">
        <v>1610</v>
      </c>
      <c r="K325" s="2" t="s">
        <v>1581</v>
      </c>
      <c r="L325" s="4">
        <v>14</v>
      </c>
      <c r="M325" s="5">
        <v>5.7</v>
      </c>
      <c r="N325" s="6">
        <f t="shared" si="30"/>
        <v>79.8</v>
      </c>
      <c r="O325" s="2" t="s">
        <v>51</v>
      </c>
      <c r="P325" s="7">
        <v>0.16517899999999999</v>
      </c>
      <c r="S325" s="6">
        <f t="shared" si="31"/>
        <v>79.8</v>
      </c>
    </row>
    <row r="326" spans="1:19" ht="15" customHeight="1" x14ac:dyDescent="0.3">
      <c r="A326" s="2" t="s">
        <v>1611</v>
      </c>
      <c r="B326" s="2" t="s">
        <v>1612</v>
      </c>
      <c r="C326" s="2" t="s">
        <v>1613</v>
      </c>
      <c r="D326" s="2" t="s">
        <v>1581</v>
      </c>
      <c r="E326" s="2">
        <v>1</v>
      </c>
      <c r="F326" s="2">
        <v>1</v>
      </c>
      <c r="G326" s="2">
        <v>0</v>
      </c>
      <c r="H326" s="2" t="s">
        <v>49</v>
      </c>
      <c r="I326" s="2" t="s">
        <v>1612</v>
      </c>
      <c r="J326" s="2" t="s">
        <v>1614</v>
      </c>
      <c r="K326" s="2" t="s">
        <v>1581</v>
      </c>
      <c r="L326" s="4">
        <v>12</v>
      </c>
      <c r="M326" s="5">
        <v>3</v>
      </c>
      <c r="N326" s="6">
        <f t="shared" si="30"/>
        <v>36</v>
      </c>
      <c r="O326" s="2" t="s">
        <v>51</v>
      </c>
      <c r="P326" s="7">
        <v>8.8541700000000001E-2</v>
      </c>
      <c r="S326" s="6">
        <f t="shared" si="31"/>
        <v>36</v>
      </c>
    </row>
    <row r="327" spans="1:19" ht="15" customHeight="1" x14ac:dyDescent="0.3">
      <c r="A327" s="2" t="s">
        <v>1615</v>
      </c>
      <c r="B327" s="2" t="s">
        <v>1616</v>
      </c>
      <c r="C327" s="2" t="s">
        <v>1617</v>
      </c>
      <c r="D327" s="2" t="s">
        <v>1581</v>
      </c>
      <c r="E327" s="2">
        <v>1</v>
      </c>
      <c r="F327" s="2">
        <v>0</v>
      </c>
      <c r="G327" s="2">
        <v>1</v>
      </c>
      <c r="H327" s="8" t="s">
        <v>67</v>
      </c>
      <c r="I327" s="2" t="s">
        <v>1618</v>
      </c>
      <c r="J327" s="2" t="s">
        <v>1615</v>
      </c>
      <c r="R327" s="9">
        <v>135</v>
      </c>
      <c r="S327" s="6">
        <f>R327</f>
        <v>135</v>
      </c>
    </row>
    <row r="328" spans="1:19" ht="15" customHeight="1" x14ac:dyDescent="0.3">
      <c r="A328" s="2" t="s">
        <v>1619</v>
      </c>
      <c r="B328" s="2" t="s">
        <v>1620</v>
      </c>
      <c r="C328" s="2" t="s">
        <v>1621</v>
      </c>
      <c r="D328" s="2" t="s">
        <v>1581</v>
      </c>
      <c r="E328" s="2">
        <v>1</v>
      </c>
      <c r="F328" s="2">
        <v>0</v>
      </c>
      <c r="G328" s="2">
        <v>0</v>
      </c>
      <c r="H328" s="2" t="s">
        <v>49</v>
      </c>
      <c r="I328" s="2" t="s">
        <v>1620</v>
      </c>
      <c r="J328" s="2" t="s">
        <v>1622</v>
      </c>
      <c r="K328" s="2" t="s">
        <v>1605</v>
      </c>
      <c r="L328" s="4">
        <v>11</v>
      </c>
      <c r="M328" s="5">
        <v>6.25</v>
      </c>
      <c r="N328" s="6">
        <f>L328*M328</f>
        <v>68.75</v>
      </c>
      <c r="O328" s="2" t="s">
        <v>51</v>
      </c>
      <c r="P328" s="7">
        <v>2.8409099999999999E-3</v>
      </c>
      <c r="S328" s="6">
        <f>IF(N328&lt;&gt;"",N328,"")</f>
        <v>68.75</v>
      </c>
    </row>
    <row r="329" spans="1:19" ht="15" customHeight="1" x14ac:dyDescent="0.3">
      <c r="A329" s="2" t="s">
        <v>1623</v>
      </c>
      <c r="B329" s="2" t="s">
        <v>1624</v>
      </c>
      <c r="C329" s="2" t="s">
        <v>1625</v>
      </c>
      <c r="D329" s="2" t="s">
        <v>1581</v>
      </c>
      <c r="E329" s="2">
        <v>2</v>
      </c>
      <c r="F329" s="2">
        <v>0</v>
      </c>
      <c r="G329" s="2">
        <v>0</v>
      </c>
      <c r="H329" s="2" t="s">
        <v>373</v>
      </c>
      <c r="S329" s="6" t="str">
        <f>IF(N329&lt;&gt;"",N329,"")</f>
        <v/>
      </c>
    </row>
    <row r="330" spans="1:19" ht="15" customHeight="1" x14ac:dyDescent="0.3">
      <c r="A330" s="2" t="s">
        <v>1626</v>
      </c>
      <c r="B330" s="2" t="s">
        <v>1627</v>
      </c>
      <c r="C330" s="2" t="s">
        <v>1628</v>
      </c>
      <c r="D330" s="2" t="s">
        <v>1581</v>
      </c>
      <c r="E330" s="2">
        <v>1</v>
      </c>
      <c r="F330" s="2">
        <v>0</v>
      </c>
      <c r="G330" s="2">
        <v>0</v>
      </c>
      <c r="H330" s="2" t="s">
        <v>49</v>
      </c>
      <c r="I330" s="2" t="s">
        <v>1627</v>
      </c>
      <c r="J330" s="2" t="s">
        <v>1629</v>
      </c>
      <c r="K330" s="2" t="s">
        <v>1581</v>
      </c>
      <c r="L330" s="4">
        <v>17</v>
      </c>
      <c r="M330" s="5">
        <v>5</v>
      </c>
      <c r="N330" s="6">
        <f>L330*M330</f>
        <v>85</v>
      </c>
      <c r="O330" s="2" t="s">
        <v>51</v>
      </c>
      <c r="P330" s="7">
        <v>0.52941199999999999</v>
      </c>
      <c r="S330" s="6">
        <f>IF(N330&lt;&gt;"",N330,"")</f>
        <v>85</v>
      </c>
    </row>
    <row r="331" spans="1:19" ht="15" customHeight="1" x14ac:dyDescent="0.3">
      <c r="A331" s="2" t="s">
        <v>1630</v>
      </c>
      <c r="B331" s="2" t="s">
        <v>1631</v>
      </c>
      <c r="C331" s="2" t="s">
        <v>1632</v>
      </c>
      <c r="D331" s="2" t="s">
        <v>1581</v>
      </c>
      <c r="E331" s="2">
        <v>1</v>
      </c>
      <c r="F331" s="2">
        <v>0</v>
      </c>
      <c r="G331" s="2">
        <v>0</v>
      </c>
      <c r="H331" s="8" t="s">
        <v>67</v>
      </c>
      <c r="I331" s="2" t="s">
        <v>1633</v>
      </c>
      <c r="J331" s="2" t="s">
        <v>1634</v>
      </c>
      <c r="R331" s="9">
        <v>135</v>
      </c>
      <c r="S331" s="6">
        <f>R331</f>
        <v>135</v>
      </c>
    </row>
    <row r="332" spans="1:19" ht="15" customHeight="1" x14ac:dyDescent="0.3">
      <c r="A332" s="2" t="s">
        <v>1635</v>
      </c>
      <c r="B332" s="2" t="s">
        <v>1636</v>
      </c>
      <c r="C332" s="2" t="s">
        <v>1637</v>
      </c>
      <c r="D332" s="2" t="s">
        <v>1605</v>
      </c>
      <c r="E332" s="2">
        <v>1</v>
      </c>
      <c r="F332" s="2">
        <v>0</v>
      </c>
      <c r="G332" s="2">
        <v>0</v>
      </c>
      <c r="H332" s="8" t="s">
        <v>67</v>
      </c>
      <c r="I332" s="2" t="s">
        <v>1638</v>
      </c>
      <c r="J332" s="2" t="s">
        <v>1635</v>
      </c>
      <c r="K332" s="2" t="s">
        <v>1605</v>
      </c>
      <c r="R332" s="9">
        <v>135</v>
      </c>
      <c r="S332" s="6">
        <f>R332</f>
        <v>135</v>
      </c>
    </row>
    <row r="333" spans="1:19" ht="15" customHeight="1" x14ac:dyDescent="0.3">
      <c r="A333" s="2" t="s">
        <v>1639</v>
      </c>
      <c r="B333" s="2" t="s">
        <v>1640</v>
      </c>
      <c r="C333" s="2" t="s">
        <v>1641</v>
      </c>
      <c r="D333" s="2" t="s">
        <v>1605</v>
      </c>
      <c r="E333" s="2">
        <v>1</v>
      </c>
      <c r="F333" s="2">
        <v>1</v>
      </c>
      <c r="G333" s="2">
        <v>0</v>
      </c>
      <c r="H333" s="8" t="s">
        <v>454</v>
      </c>
      <c r="R333" s="9">
        <v>135</v>
      </c>
      <c r="S333" s="6">
        <f>R333</f>
        <v>135</v>
      </c>
    </row>
    <row r="334" spans="1:19" ht="15" customHeight="1" x14ac:dyDescent="0.3">
      <c r="A334" s="2" t="s">
        <v>1642</v>
      </c>
      <c r="B334" s="2" t="s">
        <v>1643</v>
      </c>
      <c r="C334" s="2" t="s">
        <v>1644</v>
      </c>
      <c r="D334" s="2" t="s">
        <v>1645</v>
      </c>
      <c r="E334" s="2">
        <v>1</v>
      </c>
      <c r="F334" s="2">
        <v>1</v>
      </c>
      <c r="G334" s="2">
        <v>0</v>
      </c>
      <c r="H334" s="2" t="s">
        <v>49</v>
      </c>
      <c r="I334" s="2" t="s">
        <v>1643</v>
      </c>
      <c r="J334" s="2" t="s">
        <v>1646</v>
      </c>
      <c r="K334" s="2" t="s">
        <v>1647</v>
      </c>
      <c r="L334" s="4">
        <v>15</v>
      </c>
      <c r="M334" s="5">
        <v>4</v>
      </c>
      <c r="N334" s="6">
        <f t="shared" ref="N334:N345" si="32">L334*M334</f>
        <v>60</v>
      </c>
      <c r="O334" s="2" t="s">
        <v>51</v>
      </c>
      <c r="P334" s="7">
        <v>0.26666699999999999</v>
      </c>
      <c r="S334" s="6">
        <f t="shared" ref="S334:S345" si="33">IF(N334&lt;&gt;"",N334,"")</f>
        <v>60</v>
      </c>
    </row>
    <row r="335" spans="1:19" ht="15" customHeight="1" x14ac:dyDescent="0.3">
      <c r="A335" s="2" t="s">
        <v>1648</v>
      </c>
      <c r="B335" s="2" t="s">
        <v>1649</v>
      </c>
      <c r="C335" s="2" t="s">
        <v>1650</v>
      </c>
      <c r="D335" s="2" t="s">
        <v>1645</v>
      </c>
      <c r="E335" s="2">
        <v>1</v>
      </c>
      <c r="F335" s="2">
        <v>1</v>
      </c>
      <c r="G335" s="2">
        <v>1</v>
      </c>
      <c r="H335" s="2" t="s">
        <v>55</v>
      </c>
      <c r="I335" s="2" t="s">
        <v>1651</v>
      </c>
      <c r="J335" s="2" t="s">
        <v>1652</v>
      </c>
      <c r="K335" s="2" t="s">
        <v>1647</v>
      </c>
      <c r="L335" s="4">
        <v>7</v>
      </c>
      <c r="M335" s="5">
        <v>5</v>
      </c>
      <c r="N335" s="6">
        <f t="shared" si="32"/>
        <v>35</v>
      </c>
      <c r="O335" s="2" t="s">
        <v>51</v>
      </c>
      <c r="P335" s="7">
        <v>-7.1428599999999995E-2</v>
      </c>
      <c r="S335" s="6">
        <f t="shared" si="33"/>
        <v>35</v>
      </c>
    </row>
    <row r="336" spans="1:19" ht="15" customHeight="1" x14ac:dyDescent="0.3">
      <c r="A336" s="2" t="s">
        <v>1653</v>
      </c>
      <c r="B336" s="2" t="s">
        <v>1654</v>
      </c>
      <c r="C336" s="2" t="s">
        <v>1655</v>
      </c>
      <c r="D336" s="2" t="s">
        <v>1647</v>
      </c>
      <c r="E336" s="2">
        <v>1</v>
      </c>
      <c r="F336" s="2">
        <v>1</v>
      </c>
      <c r="G336" s="2">
        <v>0</v>
      </c>
      <c r="H336" s="2" t="s">
        <v>49</v>
      </c>
      <c r="I336" s="2" t="s">
        <v>1654</v>
      </c>
      <c r="J336" s="2" t="s">
        <v>1656</v>
      </c>
      <c r="K336" s="2" t="s">
        <v>1647</v>
      </c>
      <c r="L336" s="4">
        <v>8</v>
      </c>
      <c r="M336" s="5">
        <v>6.5</v>
      </c>
      <c r="N336" s="6">
        <f t="shared" si="32"/>
        <v>52</v>
      </c>
      <c r="O336" s="2" t="s">
        <v>51</v>
      </c>
      <c r="P336" s="7">
        <v>3.90625E-3</v>
      </c>
      <c r="S336" s="6">
        <f t="shared" si="33"/>
        <v>52</v>
      </c>
    </row>
    <row r="337" spans="1:19" ht="15" customHeight="1" x14ac:dyDescent="0.3">
      <c r="A337" s="2" t="s">
        <v>1657</v>
      </c>
      <c r="B337" s="2" t="s">
        <v>1658</v>
      </c>
      <c r="C337" s="2" t="s">
        <v>1659</v>
      </c>
      <c r="D337" s="2" t="s">
        <v>1660</v>
      </c>
      <c r="E337" s="2">
        <v>1</v>
      </c>
      <c r="F337" s="2">
        <v>1</v>
      </c>
      <c r="G337" s="2">
        <v>1</v>
      </c>
      <c r="H337" s="2" t="s">
        <v>49</v>
      </c>
      <c r="I337" s="2" t="s">
        <v>1658</v>
      </c>
      <c r="J337" s="2" t="s">
        <v>1661</v>
      </c>
      <c r="K337" s="2" t="s">
        <v>1660</v>
      </c>
      <c r="L337" s="4">
        <v>12</v>
      </c>
      <c r="M337" s="5">
        <v>6.1</v>
      </c>
      <c r="N337" s="6">
        <f t="shared" si="32"/>
        <v>73.199999999999989</v>
      </c>
      <c r="O337" s="2" t="s">
        <v>51</v>
      </c>
      <c r="P337" s="7">
        <v>5.2083299999999997E-3</v>
      </c>
      <c r="S337" s="6">
        <f t="shared" si="33"/>
        <v>73.199999999999989</v>
      </c>
    </row>
    <row r="338" spans="1:19" ht="15" customHeight="1" x14ac:dyDescent="0.3">
      <c r="A338" s="2" t="s">
        <v>1662</v>
      </c>
      <c r="B338" s="2" t="s">
        <v>1663</v>
      </c>
      <c r="C338" s="2" t="s">
        <v>1664</v>
      </c>
      <c r="D338" s="2" t="s">
        <v>1660</v>
      </c>
      <c r="E338" s="2">
        <v>1</v>
      </c>
      <c r="F338" s="2">
        <v>1</v>
      </c>
      <c r="G338" s="2">
        <v>1</v>
      </c>
      <c r="H338" s="2" t="s">
        <v>49</v>
      </c>
      <c r="I338" s="2" t="s">
        <v>1665</v>
      </c>
      <c r="J338" s="2" t="s">
        <v>1666</v>
      </c>
      <c r="K338" s="2" t="s">
        <v>1660</v>
      </c>
      <c r="L338" s="4">
        <v>10</v>
      </c>
      <c r="M338" s="5">
        <v>8.5</v>
      </c>
      <c r="N338" s="6">
        <f t="shared" si="32"/>
        <v>85</v>
      </c>
      <c r="O338" s="2" t="s">
        <v>51</v>
      </c>
      <c r="P338" s="7">
        <v>0</v>
      </c>
      <c r="S338" s="6">
        <f t="shared" si="33"/>
        <v>85</v>
      </c>
    </row>
    <row r="339" spans="1:19" ht="15" customHeight="1" x14ac:dyDescent="0.3">
      <c r="A339" s="2" t="s">
        <v>1667</v>
      </c>
      <c r="B339" s="2" t="s">
        <v>1668</v>
      </c>
      <c r="C339" s="2" t="s">
        <v>1669</v>
      </c>
      <c r="D339" s="2" t="s">
        <v>1670</v>
      </c>
      <c r="E339" s="2">
        <v>1</v>
      </c>
      <c r="F339" s="2">
        <v>0</v>
      </c>
      <c r="G339" s="2">
        <v>0</v>
      </c>
      <c r="H339" s="2" t="s">
        <v>49</v>
      </c>
      <c r="I339" s="2" t="s">
        <v>1671</v>
      </c>
      <c r="J339" s="2" t="s">
        <v>1672</v>
      </c>
      <c r="K339" s="2" t="s">
        <v>1673</v>
      </c>
      <c r="L339" s="4">
        <v>15</v>
      </c>
      <c r="M339" s="5">
        <v>5</v>
      </c>
      <c r="N339" s="6">
        <f t="shared" si="32"/>
        <v>75</v>
      </c>
      <c r="O339" s="2" t="s">
        <v>51</v>
      </c>
      <c r="P339" s="7">
        <v>0.41666700000000001</v>
      </c>
      <c r="S339" s="6">
        <f t="shared" si="33"/>
        <v>75</v>
      </c>
    </row>
    <row r="340" spans="1:19" ht="15" customHeight="1" x14ac:dyDescent="0.3">
      <c r="A340" s="2" t="s">
        <v>1674</v>
      </c>
      <c r="B340" s="2" t="s">
        <v>1675</v>
      </c>
      <c r="C340" s="2" t="s">
        <v>1676</v>
      </c>
      <c r="D340" s="2" t="s">
        <v>1670</v>
      </c>
      <c r="E340" s="2">
        <v>1</v>
      </c>
      <c r="F340" s="2">
        <v>1</v>
      </c>
      <c r="G340" s="2">
        <v>1</v>
      </c>
      <c r="H340" s="2" t="s">
        <v>49</v>
      </c>
      <c r="I340" s="2" t="s">
        <v>1677</v>
      </c>
      <c r="J340" s="2" t="s">
        <v>1678</v>
      </c>
      <c r="K340" s="2" t="s">
        <v>1673</v>
      </c>
      <c r="L340" s="4">
        <v>18</v>
      </c>
      <c r="M340" s="5">
        <v>5.6</v>
      </c>
      <c r="N340" s="6">
        <f t="shared" si="32"/>
        <v>100.8</v>
      </c>
      <c r="O340" s="2" t="s">
        <v>51</v>
      </c>
      <c r="S340" s="6">
        <f t="shared" si="33"/>
        <v>100.8</v>
      </c>
    </row>
    <row r="341" spans="1:19" ht="15" customHeight="1" x14ac:dyDescent="0.3">
      <c r="A341" s="2" t="s">
        <v>1679</v>
      </c>
      <c r="B341" s="2" t="s">
        <v>1680</v>
      </c>
      <c r="C341" s="2" t="s">
        <v>1681</v>
      </c>
      <c r="D341" s="2" t="s">
        <v>1670</v>
      </c>
      <c r="E341" s="2">
        <v>1</v>
      </c>
      <c r="F341" s="2">
        <v>0</v>
      </c>
      <c r="G341" s="2">
        <v>0</v>
      </c>
      <c r="H341" s="2" t="s">
        <v>49</v>
      </c>
      <c r="I341" s="2" t="s">
        <v>1680</v>
      </c>
      <c r="J341" s="2" t="s">
        <v>1682</v>
      </c>
      <c r="K341" s="2" t="s">
        <v>1670</v>
      </c>
      <c r="L341" s="4">
        <v>12</v>
      </c>
      <c r="M341" s="5">
        <v>3</v>
      </c>
      <c r="N341" s="6">
        <f t="shared" si="32"/>
        <v>36</v>
      </c>
      <c r="O341" s="2" t="s">
        <v>51</v>
      </c>
      <c r="P341" s="7">
        <v>5.2083299999999997E-3</v>
      </c>
      <c r="S341" s="6">
        <f t="shared" si="33"/>
        <v>36</v>
      </c>
    </row>
    <row r="342" spans="1:19" ht="15" customHeight="1" x14ac:dyDescent="0.3">
      <c r="A342" s="2" t="s">
        <v>1683</v>
      </c>
      <c r="C342" s="2" t="s">
        <v>1684</v>
      </c>
      <c r="D342" s="2" t="s">
        <v>1673</v>
      </c>
      <c r="E342" s="2">
        <v>1</v>
      </c>
      <c r="F342" s="2">
        <v>0</v>
      </c>
      <c r="G342" s="2">
        <v>0</v>
      </c>
      <c r="H342" s="2" t="s">
        <v>49</v>
      </c>
      <c r="I342" s="2" t="s">
        <v>1685</v>
      </c>
      <c r="J342" s="2" t="s">
        <v>1686</v>
      </c>
      <c r="K342" s="2" t="s">
        <v>1670</v>
      </c>
      <c r="L342" s="4">
        <v>10</v>
      </c>
      <c r="M342" s="5">
        <v>1.875</v>
      </c>
      <c r="N342" s="6">
        <f t="shared" si="32"/>
        <v>18.75</v>
      </c>
      <c r="O342" s="2" t="s">
        <v>51</v>
      </c>
      <c r="P342" s="7">
        <v>-0.05</v>
      </c>
      <c r="S342" s="6">
        <f t="shared" si="33"/>
        <v>18.75</v>
      </c>
    </row>
    <row r="343" spans="1:19" ht="15" customHeight="1" x14ac:dyDescent="0.3">
      <c r="A343" s="2" t="s">
        <v>1687</v>
      </c>
      <c r="B343" s="2" t="s">
        <v>1688</v>
      </c>
      <c r="C343" s="2" t="s">
        <v>1689</v>
      </c>
      <c r="D343" s="2" t="s">
        <v>1673</v>
      </c>
      <c r="E343" s="2">
        <v>1</v>
      </c>
      <c r="F343" s="2">
        <v>0</v>
      </c>
      <c r="G343" s="2">
        <v>0</v>
      </c>
      <c r="H343" s="2" t="s">
        <v>49</v>
      </c>
      <c r="I343" s="2" t="s">
        <v>1690</v>
      </c>
      <c r="J343" s="2" t="s">
        <v>1691</v>
      </c>
      <c r="K343" s="2" t="s">
        <v>1673</v>
      </c>
      <c r="L343" s="4">
        <v>8</v>
      </c>
      <c r="M343" s="5">
        <v>5</v>
      </c>
      <c r="N343" s="6">
        <f t="shared" si="32"/>
        <v>40</v>
      </c>
      <c r="O343" s="2" t="s">
        <v>51</v>
      </c>
      <c r="P343" s="7">
        <v>1.95312E-3</v>
      </c>
      <c r="S343" s="6">
        <f t="shared" si="33"/>
        <v>40</v>
      </c>
    </row>
    <row r="344" spans="1:19" ht="15" customHeight="1" x14ac:dyDescent="0.3">
      <c r="A344" s="2" t="s">
        <v>1692</v>
      </c>
      <c r="B344" s="2" t="s">
        <v>1693</v>
      </c>
      <c r="C344" s="2" t="s">
        <v>1694</v>
      </c>
      <c r="D344" s="2" t="s">
        <v>1673</v>
      </c>
      <c r="E344" s="2">
        <v>1</v>
      </c>
      <c r="F344" s="2">
        <v>0</v>
      </c>
      <c r="G344" s="2">
        <v>1</v>
      </c>
      <c r="H344" s="2" t="s">
        <v>49</v>
      </c>
      <c r="I344" s="2" t="s">
        <v>1693</v>
      </c>
      <c r="J344" s="2" t="s">
        <v>1695</v>
      </c>
      <c r="K344" s="2" t="s">
        <v>1673</v>
      </c>
      <c r="L344" s="4">
        <v>16</v>
      </c>
      <c r="M344" s="5">
        <v>5.4</v>
      </c>
      <c r="N344" s="6">
        <f t="shared" si="32"/>
        <v>86.4</v>
      </c>
      <c r="O344" s="2" t="s">
        <v>51</v>
      </c>
      <c r="P344" s="7">
        <v>1.125</v>
      </c>
      <c r="S344" s="6">
        <f t="shared" si="33"/>
        <v>86.4</v>
      </c>
    </row>
    <row r="345" spans="1:19" ht="15" customHeight="1" x14ac:dyDescent="0.3">
      <c r="A345" s="2" t="s">
        <v>1696</v>
      </c>
      <c r="B345" s="2" t="s">
        <v>1697</v>
      </c>
      <c r="C345" s="2" t="s">
        <v>1698</v>
      </c>
      <c r="D345" s="2" t="s">
        <v>1699</v>
      </c>
      <c r="E345" s="2">
        <v>1</v>
      </c>
      <c r="F345" s="2">
        <v>1</v>
      </c>
      <c r="G345" s="2">
        <v>0</v>
      </c>
      <c r="H345" s="2" t="s">
        <v>49</v>
      </c>
      <c r="I345" s="2" t="s">
        <v>1697</v>
      </c>
      <c r="J345" s="2" t="s">
        <v>1700</v>
      </c>
      <c r="K345" s="2" t="s">
        <v>1701</v>
      </c>
      <c r="L345" s="4">
        <v>10.5</v>
      </c>
      <c r="M345" s="5">
        <v>3</v>
      </c>
      <c r="N345" s="6">
        <f t="shared" si="32"/>
        <v>31.5</v>
      </c>
      <c r="O345" s="2" t="s">
        <v>51</v>
      </c>
      <c r="P345" s="7">
        <v>8.9285700000000003E-3</v>
      </c>
      <c r="S345" s="6">
        <f t="shared" si="33"/>
        <v>31.5</v>
      </c>
    </row>
    <row r="346" spans="1:19" ht="15" customHeight="1" x14ac:dyDescent="0.3">
      <c r="A346" s="2" t="s">
        <v>1702</v>
      </c>
      <c r="B346" s="2" t="s">
        <v>1703</v>
      </c>
      <c r="C346" s="2" t="s">
        <v>1704</v>
      </c>
      <c r="D346" s="2" t="s">
        <v>1705</v>
      </c>
      <c r="E346" s="2">
        <v>1</v>
      </c>
      <c r="F346" s="2">
        <v>0</v>
      </c>
      <c r="G346" s="2">
        <v>0</v>
      </c>
      <c r="H346" s="8" t="s">
        <v>67</v>
      </c>
      <c r="I346" s="2" t="s">
        <v>1706</v>
      </c>
      <c r="J346" s="2" t="s">
        <v>1707</v>
      </c>
      <c r="K346" s="2" t="s">
        <v>1705</v>
      </c>
      <c r="R346" s="9">
        <v>135</v>
      </c>
      <c r="S346" s="6">
        <f>R346</f>
        <v>135</v>
      </c>
    </row>
    <row r="347" spans="1:19" ht="15" customHeight="1" x14ac:dyDescent="0.3">
      <c r="A347" s="2" t="s">
        <v>1708</v>
      </c>
      <c r="B347" s="2" t="s">
        <v>1709</v>
      </c>
      <c r="C347" s="2" t="s">
        <v>1710</v>
      </c>
      <c r="D347" s="2" t="s">
        <v>1711</v>
      </c>
      <c r="E347" s="2">
        <v>1</v>
      </c>
      <c r="F347" s="2">
        <v>1</v>
      </c>
      <c r="G347" s="2">
        <v>1</v>
      </c>
      <c r="H347" s="2" t="s">
        <v>55</v>
      </c>
      <c r="I347" s="2" t="s">
        <v>1712</v>
      </c>
      <c r="J347" s="2" t="s">
        <v>1713</v>
      </c>
      <c r="K347" s="2" t="s">
        <v>1711</v>
      </c>
      <c r="L347" s="4">
        <v>7</v>
      </c>
      <c r="M347" s="5">
        <v>4.5</v>
      </c>
      <c r="N347" s="6">
        <f>L347*M347</f>
        <v>31.5</v>
      </c>
      <c r="O347" s="2" t="s">
        <v>51</v>
      </c>
      <c r="P347" s="7">
        <v>0.214286</v>
      </c>
      <c r="S347" s="6">
        <f>IF(N347&lt;&gt;"",N347,"")</f>
        <v>31.5</v>
      </c>
    </row>
    <row r="348" spans="1:19" ht="15" customHeight="1" x14ac:dyDescent="0.3">
      <c r="A348" s="2" t="s">
        <v>1714</v>
      </c>
      <c r="B348" s="2" t="s">
        <v>1715</v>
      </c>
      <c r="C348" s="2" t="s">
        <v>1716</v>
      </c>
      <c r="D348" s="2" t="s">
        <v>1717</v>
      </c>
      <c r="E348" s="2">
        <v>1</v>
      </c>
      <c r="F348" s="2">
        <v>0</v>
      </c>
      <c r="G348" s="2">
        <v>0</v>
      </c>
      <c r="H348" s="2" t="s">
        <v>49</v>
      </c>
      <c r="I348" s="2" t="s">
        <v>1715</v>
      </c>
      <c r="J348" s="2" t="s">
        <v>1718</v>
      </c>
      <c r="K348" s="2" t="s">
        <v>1719</v>
      </c>
      <c r="L348" s="4">
        <v>19</v>
      </c>
      <c r="M348" s="5">
        <v>7.8</v>
      </c>
      <c r="N348" s="6">
        <f>L348*M348</f>
        <v>148.19999999999999</v>
      </c>
      <c r="O348" s="2" t="s">
        <v>51</v>
      </c>
      <c r="S348" s="6">
        <f>IF(N348&lt;&gt;"",N348,"")</f>
        <v>148.19999999999999</v>
      </c>
    </row>
    <row r="349" spans="1:19" ht="15" customHeight="1" x14ac:dyDescent="0.3">
      <c r="A349" s="2" t="s">
        <v>1720</v>
      </c>
      <c r="B349" s="2" t="s">
        <v>1721</v>
      </c>
      <c r="C349" s="2" t="s">
        <v>1722</v>
      </c>
      <c r="D349" s="2" t="s">
        <v>1719</v>
      </c>
      <c r="E349" s="2">
        <v>1</v>
      </c>
      <c r="F349" s="2">
        <v>1</v>
      </c>
      <c r="G349" s="2">
        <v>1</v>
      </c>
      <c r="H349" s="8" t="s">
        <v>67</v>
      </c>
      <c r="I349" s="2" t="s">
        <v>1723</v>
      </c>
      <c r="J349" s="2" t="s">
        <v>1724</v>
      </c>
      <c r="R349" s="9">
        <v>135</v>
      </c>
      <c r="S349" s="6">
        <f>R349</f>
        <v>135</v>
      </c>
    </row>
    <row r="350" spans="1:19" ht="15" customHeight="1" x14ac:dyDescent="0.3">
      <c r="A350" s="2" t="s">
        <v>1725</v>
      </c>
      <c r="B350" s="2" t="s">
        <v>1726</v>
      </c>
      <c r="C350" s="2" t="s">
        <v>1727</v>
      </c>
      <c r="D350" s="2" t="s">
        <v>1728</v>
      </c>
      <c r="E350" s="2">
        <v>1</v>
      </c>
      <c r="F350" s="2">
        <v>1</v>
      </c>
      <c r="G350" s="2">
        <v>1</v>
      </c>
      <c r="H350" s="2" t="s">
        <v>49</v>
      </c>
      <c r="I350" s="2" t="s">
        <v>1726</v>
      </c>
      <c r="J350" s="2" t="s">
        <v>1729</v>
      </c>
      <c r="K350" s="2" t="s">
        <v>1730</v>
      </c>
      <c r="L350" s="4">
        <v>12</v>
      </c>
      <c r="M350" s="5">
        <v>9.1</v>
      </c>
      <c r="N350" s="6">
        <f t="shared" ref="N350:N361" si="34">L350*M350</f>
        <v>109.19999999999999</v>
      </c>
      <c r="O350" s="2" t="s">
        <v>51</v>
      </c>
      <c r="P350" s="7">
        <v>0.42708299999999999</v>
      </c>
      <c r="S350" s="6">
        <f t="shared" ref="S350:S364" si="35">IF(N350&lt;&gt;"",N350,"")</f>
        <v>109.19999999999999</v>
      </c>
    </row>
    <row r="351" spans="1:19" ht="15" customHeight="1" x14ac:dyDescent="0.3">
      <c r="A351" s="2" t="s">
        <v>1731</v>
      </c>
      <c r="B351" s="2" t="s">
        <v>1732</v>
      </c>
      <c r="C351" s="2" t="s">
        <v>1733</v>
      </c>
      <c r="D351" s="2" t="s">
        <v>1730</v>
      </c>
      <c r="E351" s="2">
        <v>1</v>
      </c>
      <c r="F351" s="2">
        <v>0</v>
      </c>
      <c r="G351" s="2">
        <v>1</v>
      </c>
      <c r="H351" s="2" t="s">
        <v>49</v>
      </c>
      <c r="I351" s="2" t="s">
        <v>1732</v>
      </c>
      <c r="J351" s="2" t="s">
        <v>1734</v>
      </c>
      <c r="K351" s="2" t="s">
        <v>1730</v>
      </c>
      <c r="L351" s="4">
        <v>13</v>
      </c>
      <c r="M351" s="5">
        <v>4.29</v>
      </c>
      <c r="N351" s="6">
        <f t="shared" si="34"/>
        <v>55.77</v>
      </c>
      <c r="O351" s="2" t="s">
        <v>51</v>
      </c>
      <c r="P351" s="7">
        <v>4.8076899999999999E-3</v>
      </c>
      <c r="S351" s="6">
        <f t="shared" si="35"/>
        <v>55.77</v>
      </c>
    </row>
    <row r="352" spans="1:19" ht="15" customHeight="1" x14ac:dyDescent="0.3">
      <c r="A352" s="2" t="s">
        <v>1735</v>
      </c>
      <c r="B352" s="2" t="s">
        <v>1736</v>
      </c>
      <c r="C352" s="2" t="s">
        <v>1737</v>
      </c>
      <c r="D352" s="2" t="s">
        <v>1730</v>
      </c>
      <c r="E352" s="2">
        <v>1</v>
      </c>
      <c r="F352" s="2">
        <v>0</v>
      </c>
      <c r="G352" s="2">
        <v>0</v>
      </c>
      <c r="H352" s="2" t="s">
        <v>49</v>
      </c>
      <c r="I352" s="2" t="s">
        <v>1736</v>
      </c>
      <c r="J352" s="2" t="s">
        <v>1738</v>
      </c>
      <c r="K352" s="2" t="s">
        <v>1730</v>
      </c>
      <c r="L352" s="4">
        <v>16</v>
      </c>
      <c r="M352" s="5">
        <v>7.5</v>
      </c>
      <c r="N352" s="6">
        <f t="shared" si="34"/>
        <v>120</v>
      </c>
      <c r="O352" s="2" t="s">
        <v>51</v>
      </c>
      <c r="P352" s="7">
        <v>0.234375</v>
      </c>
      <c r="S352" s="6">
        <f t="shared" si="35"/>
        <v>120</v>
      </c>
    </row>
    <row r="353" spans="1:19" ht="15" customHeight="1" x14ac:dyDescent="0.3">
      <c r="A353" s="2" t="s">
        <v>1739</v>
      </c>
      <c r="B353" s="2" t="s">
        <v>1740</v>
      </c>
      <c r="C353" s="2" t="s">
        <v>1741</v>
      </c>
      <c r="D353" s="2" t="s">
        <v>1730</v>
      </c>
      <c r="E353" s="2">
        <v>1</v>
      </c>
      <c r="F353" s="2">
        <v>1</v>
      </c>
      <c r="G353" s="2">
        <v>0</v>
      </c>
      <c r="H353" s="2" t="s">
        <v>49</v>
      </c>
      <c r="I353" s="2" t="s">
        <v>1742</v>
      </c>
      <c r="J353" s="2" t="s">
        <v>1743</v>
      </c>
      <c r="K353" s="2" t="s">
        <v>1744</v>
      </c>
      <c r="L353" s="4">
        <v>11</v>
      </c>
      <c r="M353" s="5">
        <v>5</v>
      </c>
      <c r="N353" s="6">
        <f t="shared" si="34"/>
        <v>55</v>
      </c>
      <c r="O353" s="2" t="s">
        <v>51</v>
      </c>
      <c r="S353" s="6">
        <f t="shared" si="35"/>
        <v>55</v>
      </c>
    </row>
    <row r="354" spans="1:19" ht="15" customHeight="1" x14ac:dyDescent="0.3">
      <c r="A354" s="2" t="s">
        <v>1745</v>
      </c>
      <c r="B354" s="2" t="s">
        <v>1746</v>
      </c>
      <c r="C354" s="2" t="s">
        <v>1747</v>
      </c>
      <c r="D354" s="2" t="s">
        <v>1730</v>
      </c>
      <c r="E354" s="2">
        <v>1</v>
      </c>
      <c r="F354" s="2">
        <v>0</v>
      </c>
      <c r="G354" s="2">
        <v>1</v>
      </c>
      <c r="H354" s="2" t="s">
        <v>49</v>
      </c>
      <c r="I354" s="2" t="s">
        <v>1746</v>
      </c>
      <c r="J354" s="2" t="s">
        <v>1748</v>
      </c>
      <c r="K354" s="2" t="s">
        <v>1744</v>
      </c>
      <c r="L354" s="4">
        <v>16</v>
      </c>
      <c r="M354" s="5">
        <v>7.7</v>
      </c>
      <c r="N354" s="6">
        <f t="shared" si="34"/>
        <v>123.2</v>
      </c>
      <c r="O354" s="2" t="s">
        <v>51</v>
      </c>
      <c r="P354" s="7">
        <v>1.25</v>
      </c>
      <c r="S354" s="6">
        <f t="shared" si="35"/>
        <v>123.2</v>
      </c>
    </row>
    <row r="355" spans="1:19" ht="15" customHeight="1" x14ac:dyDescent="0.3">
      <c r="A355" s="2" t="s">
        <v>1749</v>
      </c>
      <c r="B355" s="2" t="s">
        <v>1750</v>
      </c>
      <c r="C355" s="2" t="s">
        <v>1751</v>
      </c>
      <c r="D355" s="2" t="s">
        <v>1752</v>
      </c>
      <c r="E355" s="2">
        <v>1</v>
      </c>
      <c r="F355" s="2">
        <v>1</v>
      </c>
      <c r="G355" s="2">
        <v>1</v>
      </c>
      <c r="H355" s="2" t="s">
        <v>49</v>
      </c>
      <c r="I355" s="2" t="s">
        <v>1750</v>
      </c>
      <c r="J355" s="2" t="s">
        <v>1753</v>
      </c>
      <c r="K355" s="2" t="s">
        <v>1752</v>
      </c>
      <c r="L355" s="4">
        <v>23</v>
      </c>
      <c r="M355" s="5">
        <v>10</v>
      </c>
      <c r="N355" s="6">
        <f t="shared" si="34"/>
        <v>230</v>
      </c>
      <c r="O355" s="2" t="s">
        <v>51</v>
      </c>
      <c r="P355" s="7">
        <v>1.9130400000000001</v>
      </c>
      <c r="S355" s="6">
        <f t="shared" si="35"/>
        <v>230</v>
      </c>
    </row>
    <row r="356" spans="1:19" ht="15" customHeight="1" x14ac:dyDescent="0.3">
      <c r="A356" s="2" t="s">
        <v>1754</v>
      </c>
      <c r="B356" s="2" t="s">
        <v>1755</v>
      </c>
      <c r="C356" s="2" t="s">
        <v>1756</v>
      </c>
      <c r="D356" s="2" t="s">
        <v>1757</v>
      </c>
      <c r="E356" s="2">
        <v>1</v>
      </c>
      <c r="F356" s="2">
        <v>1</v>
      </c>
      <c r="G356" s="2">
        <v>1</v>
      </c>
      <c r="H356" s="2" t="s">
        <v>49</v>
      </c>
      <c r="I356" s="2" t="s">
        <v>1758</v>
      </c>
      <c r="J356" s="2" t="s">
        <v>1759</v>
      </c>
      <c r="K356" s="2" t="s">
        <v>1760</v>
      </c>
      <c r="L356" s="4">
        <v>12</v>
      </c>
      <c r="M356" s="5">
        <v>5.5</v>
      </c>
      <c r="N356" s="6">
        <f t="shared" si="34"/>
        <v>66</v>
      </c>
      <c r="O356" s="2" t="s">
        <v>51</v>
      </c>
      <c r="P356" s="7">
        <v>0.875</v>
      </c>
      <c r="S356" s="6">
        <f t="shared" si="35"/>
        <v>66</v>
      </c>
    </row>
    <row r="357" spans="1:19" ht="15" customHeight="1" x14ac:dyDescent="0.3">
      <c r="A357" s="2" t="s">
        <v>1761</v>
      </c>
      <c r="B357" s="2" t="s">
        <v>1762</v>
      </c>
      <c r="C357" s="2" t="s">
        <v>1763</v>
      </c>
      <c r="D357" s="2" t="s">
        <v>1757</v>
      </c>
      <c r="E357" s="2">
        <v>1</v>
      </c>
      <c r="F357" s="2">
        <v>0</v>
      </c>
      <c r="G357" s="2">
        <v>0</v>
      </c>
      <c r="H357" s="2" t="s">
        <v>49</v>
      </c>
      <c r="I357" s="2" t="s">
        <v>1764</v>
      </c>
      <c r="J357" s="2" t="s">
        <v>1765</v>
      </c>
      <c r="K357" s="2" t="s">
        <v>1760</v>
      </c>
      <c r="L357" s="4">
        <v>15</v>
      </c>
      <c r="M357" s="5">
        <v>5.8</v>
      </c>
      <c r="N357" s="6">
        <f t="shared" si="34"/>
        <v>87</v>
      </c>
      <c r="O357" s="2" t="s">
        <v>51</v>
      </c>
      <c r="P357" s="7">
        <v>0.60624999999999996</v>
      </c>
      <c r="S357" s="6">
        <f t="shared" si="35"/>
        <v>87</v>
      </c>
    </row>
    <row r="358" spans="1:19" ht="15" customHeight="1" x14ac:dyDescent="0.3">
      <c r="A358" s="2" t="s">
        <v>1766</v>
      </c>
      <c r="B358" s="2" t="s">
        <v>1767</v>
      </c>
      <c r="C358" s="2" t="s">
        <v>1768</v>
      </c>
      <c r="D358" s="2" t="s">
        <v>1757</v>
      </c>
      <c r="E358" s="2">
        <v>1</v>
      </c>
      <c r="F358" s="2">
        <v>0</v>
      </c>
      <c r="G358" s="2">
        <v>0</v>
      </c>
      <c r="H358" s="2" t="s">
        <v>49</v>
      </c>
      <c r="I358" s="2" t="s">
        <v>1767</v>
      </c>
      <c r="J358" s="2" t="s">
        <v>1769</v>
      </c>
      <c r="K358" s="2" t="s">
        <v>1757</v>
      </c>
      <c r="L358" s="4">
        <v>17</v>
      </c>
      <c r="M358" s="5">
        <v>7.5</v>
      </c>
      <c r="N358" s="6">
        <f t="shared" si="34"/>
        <v>127.5</v>
      </c>
      <c r="O358" s="2" t="s">
        <v>51</v>
      </c>
      <c r="P358" s="7">
        <v>0.117647</v>
      </c>
      <c r="S358" s="6">
        <f t="shared" si="35"/>
        <v>127.5</v>
      </c>
    </row>
    <row r="359" spans="1:19" ht="15" customHeight="1" x14ac:dyDescent="0.3">
      <c r="A359" s="2" t="s">
        <v>1770</v>
      </c>
      <c r="B359" s="2" t="s">
        <v>1771</v>
      </c>
      <c r="C359" s="2" t="s">
        <v>1772</v>
      </c>
      <c r="D359" s="2" t="s">
        <v>1757</v>
      </c>
      <c r="E359" s="2">
        <v>1</v>
      </c>
      <c r="F359" s="2">
        <v>0</v>
      </c>
      <c r="G359" s="2">
        <v>0</v>
      </c>
      <c r="H359" s="2" t="s">
        <v>55</v>
      </c>
      <c r="I359" s="2" t="s">
        <v>1773</v>
      </c>
      <c r="J359" s="2" t="s">
        <v>1774</v>
      </c>
      <c r="K359" s="2" t="s">
        <v>1760</v>
      </c>
      <c r="L359" s="4">
        <v>22</v>
      </c>
      <c r="M359" s="5">
        <v>58</v>
      </c>
      <c r="N359" s="6">
        <f t="shared" si="34"/>
        <v>1276</v>
      </c>
      <c r="O359" s="2" t="s">
        <v>51</v>
      </c>
      <c r="P359" s="7">
        <v>0.28409099999999998</v>
      </c>
      <c r="S359" s="6">
        <f t="shared" si="35"/>
        <v>1276</v>
      </c>
    </row>
    <row r="360" spans="1:19" ht="15" customHeight="1" x14ac:dyDescent="0.3">
      <c r="A360" s="2" t="s">
        <v>1775</v>
      </c>
      <c r="B360" s="2" t="s">
        <v>1776</v>
      </c>
      <c r="C360" s="2" t="s">
        <v>1777</v>
      </c>
      <c r="D360" s="2" t="s">
        <v>1760</v>
      </c>
      <c r="E360" s="2">
        <v>1</v>
      </c>
      <c r="F360" s="2">
        <v>1</v>
      </c>
      <c r="G360" s="2">
        <v>0</v>
      </c>
      <c r="H360" s="2" t="s">
        <v>49</v>
      </c>
      <c r="I360" s="2" t="s">
        <v>1776</v>
      </c>
      <c r="J360" s="2" t="s">
        <v>1778</v>
      </c>
      <c r="K360" s="2" t="s">
        <v>1779</v>
      </c>
      <c r="L360" s="4">
        <v>12</v>
      </c>
      <c r="M360" s="5">
        <v>7</v>
      </c>
      <c r="N360" s="6">
        <f t="shared" si="34"/>
        <v>84</v>
      </c>
      <c r="O360" s="2" t="s">
        <v>51</v>
      </c>
      <c r="P360" s="7">
        <v>0.39583299999999999</v>
      </c>
      <c r="S360" s="6">
        <f t="shared" si="35"/>
        <v>84</v>
      </c>
    </row>
    <row r="361" spans="1:19" ht="15" customHeight="1" x14ac:dyDescent="0.3">
      <c r="A361" s="2" t="s">
        <v>1780</v>
      </c>
      <c r="B361" s="2" t="s">
        <v>1781</v>
      </c>
      <c r="C361" s="2" t="s">
        <v>1782</v>
      </c>
      <c r="D361" s="2" t="s">
        <v>1760</v>
      </c>
      <c r="E361" s="2">
        <v>1</v>
      </c>
      <c r="F361" s="2">
        <v>0</v>
      </c>
      <c r="G361" s="2">
        <v>1</v>
      </c>
      <c r="H361" s="2" t="s">
        <v>49</v>
      </c>
      <c r="I361" s="2" t="s">
        <v>1781</v>
      </c>
      <c r="J361" s="2" t="s">
        <v>1783</v>
      </c>
      <c r="K361" s="2" t="s">
        <v>1779</v>
      </c>
      <c r="L361" s="4">
        <v>14</v>
      </c>
      <c r="M361" s="5">
        <v>5</v>
      </c>
      <c r="N361" s="6">
        <f t="shared" si="34"/>
        <v>70</v>
      </c>
      <c r="O361" s="2" t="s">
        <v>51</v>
      </c>
      <c r="S361" s="6">
        <f t="shared" si="35"/>
        <v>70</v>
      </c>
    </row>
    <row r="362" spans="1:19" ht="15" customHeight="1" x14ac:dyDescent="0.3">
      <c r="A362" s="2" t="s">
        <v>1784</v>
      </c>
      <c r="B362" s="2" t="s">
        <v>1785</v>
      </c>
      <c r="C362" s="2" t="s">
        <v>1786</v>
      </c>
      <c r="D362" s="2" t="s">
        <v>1779</v>
      </c>
      <c r="E362" s="2">
        <v>2</v>
      </c>
      <c r="F362" s="2">
        <v>0</v>
      </c>
      <c r="G362" s="2">
        <v>0</v>
      </c>
      <c r="H362" s="2" t="s">
        <v>115</v>
      </c>
      <c r="I362" s="2" t="s">
        <v>1787</v>
      </c>
      <c r="J362" s="2" t="s">
        <v>1788</v>
      </c>
      <c r="K362" s="2" t="s">
        <v>1779</v>
      </c>
      <c r="S362" s="6" t="str">
        <f t="shared" si="35"/>
        <v/>
      </c>
    </row>
    <row r="363" spans="1:19" ht="15" customHeight="1" x14ac:dyDescent="0.3">
      <c r="A363" s="2" t="s">
        <v>1789</v>
      </c>
      <c r="B363" s="2" t="s">
        <v>1790</v>
      </c>
      <c r="C363" s="2" t="s">
        <v>1791</v>
      </c>
      <c r="D363" s="2" t="s">
        <v>1779</v>
      </c>
      <c r="E363" s="2">
        <v>1</v>
      </c>
      <c r="F363" s="2">
        <v>1</v>
      </c>
      <c r="G363" s="2">
        <v>0</v>
      </c>
      <c r="H363" s="2" t="s">
        <v>49</v>
      </c>
      <c r="I363" s="2" t="s">
        <v>1790</v>
      </c>
      <c r="J363" s="2" t="s">
        <v>1792</v>
      </c>
      <c r="K363" s="2" t="s">
        <v>1760</v>
      </c>
      <c r="L363" s="4">
        <v>14</v>
      </c>
      <c r="M363" s="5">
        <v>6</v>
      </c>
      <c r="N363" s="6">
        <f>L363*M363</f>
        <v>84</v>
      </c>
      <c r="O363" s="2" t="s">
        <v>51</v>
      </c>
      <c r="P363" s="7">
        <v>0.191964</v>
      </c>
      <c r="S363" s="6">
        <f t="shared" si="35"/>
        <v>84</v>
      </c>
    </row>
    <row r="364" spans="1:19" ht="15" customHeight="1" x14ac:dyDescent="0.3">
      <c r="A364" s="2" t="s">
        <v>1793</v>
      </c>
      <c r="B364" s="2" t="s">
        <v>1794</v>
      </c>
      <c r="C364" s="2" t="s">
        <v>1795</v>
      </c>
      <c r="D364" s="2" t="s">
        <v>1779</v>
      </c>
      <c r="E364" s="2">
        <v>1</v>
      </c>
      <c r="F364" s="2">
        <v>1</v>
      </c>
      <c r="G364" s="2">
        <v>0</v>
      </c>
      <c r="H364" s="2" t="s">
        <v>49</v>
      </c>
      <c r="I364" s="2" t="s">
        <v>1796</v>
      </c>
      <c r="J364" s="2" t="s">
        <v>1797</v>
      </c>
      <c r="K364" s="2" t="s">
        <v>1798</v>
      </c>
      <c r="L364" s="4">
        <v>17</v>
      </c>
      <c r="M364" s="5">
        <v>7</v>
      </c>
      <c r="N364" s="6">
        <f>L364*M364</f>
        <v>119</v>
      </c>
      <c r="O364" s="2" t="s">
        <v>51</v>
      </c>
      <c r="P364" s="7">
        <v>0.79411799999999999</v>
      </c>
      <c r="S364" s="6">
        <f t="shared" si="35"/>
        <v>119</v>
      </c>
    </row>
    <row r="365" spans="1:19" ht="15" customHeight="1" x14ac:dyDescent="0.3">
      <c r="A365" s="2" t="s">
        <v>1799</v>
      </c>
      <c r="B365" s="2" t="s">
        <v>1800</v>
      </c>
      <c r="C365" s="2" t="s">
        <v>1801</v>
      </c>
      <c r="D365" s="2" t="s">
        <v>1779</v>
      </c>
      <c r="E365" s="2">
        <v>1</v>
      </c>
      <c r="F365" s="2">
        <v>0</v>
      </c>
      <c r="G365" s="2">
        <v>0</v>
      </c>
      <c r="H365" s="8" t="s">
        <v>67</v>
      </c>
      <c r="I365" s="2" t="s">
        <v>1802</v>
      </c>
      <c r="J365" s="2" t="s">
        <v>1803</v>
      </c>
      <c r="R365" s="9">
        <v>135</v>
      </c>
      <c r="S365" s="6">
        <f>R365</f>
        <v>135</v>
      </c>
    </row>
    <row r="366" spans="1:19" ht="15" customHeight="1" x14ac:dyDescent="0.3">
      <c r="A366" s="2" t="s">
        <v>1804</v>
      </c>
      <c r="B366" s="2" t="s">
        <v>1805</v>
      </c>
      <c r="C366" s="2" t="s">
        <v>1806</v>
      </c>
      <c r="D366" s="2" t="s">
        <v>1779</v>
      </c>
      <c r="E366" s="2">
        <v>1</v>
      </c>
      <c r="F366" s="2">
        <v>1</v>
      </c>
      <c r="G366" s="2">
        <v>0</v>
      </c>
      <c r="H366" s="2" t="s">
        <v>49</v>
      </c>
      <c r="I366" s="2" t="s">
        <v>1805</v>
      </c>
      <c r="J366" s="2" t="s">
        <v>1807</v>
      </c>
      <c r="K366" s="2" t="s">
        <v>1779</v>
      </c>
      <c r="L366" s="4">
        <v>13</v>
      </c>
      <c r="M366" s="5">
        <v>7.8</v>
      </c>
      <c r="N366" s="6">
        <f>L366*M366</f>
        <v>101.39999999999999</v>
      </c>
      <c r="O366" s="2" t="s">
        <v>51</v>
      </c>
      <c r="P366" s="7">
        <v>8.1730800000000006E-2</v>
      </c>
      <c r="S366" s="6">
        <f>IF(N366&lt;&gt;"",N366,"")</f>
        <v>101.39999999999999</v>
      </c>
    </row>
    <row r="367" spans="1:19" ht="15" customHeight="1" x14ac:dyDescent="0.3">
      <c r="A367" s="2" t="s">
        <v>1808</v>
      </c>
      <c r="B367" s="2" t="s">
        <v>1809</v>
      </c>
      <c r="C367" s="2" t="s">
        <v>1810</v>
      </c>
      <c r="D367" s="2" t="s">
        <v>1779</v>
      </c>
      <c r="E367" s="2">
        <v>1</v>
      </c>
      <c r="F367" s="2">
        <v>1</v>
      </c>
      <c r="G367" s="2">
        <v>0</v>
      </c>
      <c r="H367" s="2" t="s">
        <v>55</v>
      </c>
      <c r="I367" s="2" t="s">
        <v>1811</v>
      </c>
      <c r="J367" s="2" t="s">
        <v>1812</v>
      </c>
      <c r="K367" s="2" t="s">
        <v>1798</v>
      </c>
      <c r="L367" s="4">
        <v>16</v>
      </c>
      <c r="M367" s="5">
        <v>5.5</v>
      </c>
      <c r="N367" s="6">
        <f>L367*M367</f>
        <v>88</v>
      </c>
      <c r="O367" s="2" t="s">
        <v>51</v>
      </c>
      <c r="P367" s="7">
        <v>1.0039100000000001</v>
      </c>
      <c r="S367" s="6">
        <f>IF(N367&lt;&gt;"",N367,"")</f>
        <v>88</v>
      </c>
    </row>
    <row r="368" spans="1:19" ht="15" customHeight="1" x14ac:dyDescent="0.3">
      <c r="A368" s="2" t="s">
        <v>1813</v>
      </c>
      <c r="B368" s="2" t="s">
        <v>1814</v>
      </c>
      <c r="C368" s="2" t="s">
        <v>1815</v>
      </c>
      <c r="D368" s="2" t="s">
        <v>1779</v>
      </c>
      <c r="E368" s="2">
        <v>1</v>
      </c>
      <c r="F368" s="2">
        <v>1</v>
      </c>
      <c r="G368" s="2">
        <v>0</v>
      </c>
      <c r="H368" s="2" t="s">
        <v>49</v>
      </c>
      <c r="I368" s="2" t="s">
        <v>1814</v>
      </c>
      <c r="J368" s="2" t="s">
        <v>1816</v>
      </c>
      <c r="K368" s="2" t="s">
        <v>1798</v>
      </c>
      <c r="L368" s="4">
        <v>9</v>
      </c>
      <c r="M368" s="5">
        <v>7</v>
      </c>
      <c r="N368" s="6">
        <f>L368*M368</f>
        <v>63</v>
      </c>
      <c r="O368" s="2" t="s">
        <v>51</v>
      </c>
      <c r="P368" s="7">
        <v>0</v>
      </c>
      <c r="S368" s="6">
        <f>IF(N368&lt;&gt;"",N368,"")</f>
        <v>63</v>
      </c>
    </row>
    <row r="369" spans="1:19" ht="15" customHeight="1" x14ac:dyDescent="0.3">
      <c r="A369" s="2" t="s">
        <v>1817</v>
      </c>
      <c r="B369" s="2" t="s">
        <v>1818</v>
      </c>
      <c r="C369" s="2" t="s">
        <v>1819</v>
      </c>
      <c r="D369" s="2" t="s">
        <v>1798</v>
      </c>
      <c r="E369" s="2">
        <v>1</v>
      </c>
      <c r="F369" s="2">
        <v>1</v>
      </c>
      <c r="G369" s="2">
        <v>1</v>
      </c>
      <c r="H369" s="2" t="s">
        <v>49</v>
      </c>
      <c r="I369" s="2" t="s">
        <v>1820</v>
      </c>
      <c r="J369" s="2" t="s">
        <v>1821</v>
      </c>
      <c r="K369" s="2" t="s">
        <v>1798</v>
      </c>
      <c r="L369" s="4">
        <v>11</v>
      </c>
      <c r="M369" s="5">
        <v>8</v>
      </c>
      <c r="N369" s="6">
        <f>L369*M369</f>
        <v>88</v>
      </c>
      <c r="O369" s="2" t="s">
        <v>51</v>
      </c>
      <c r="P369" s="7">
        <v>0.18181800000000001</v>
      </c>
      <c r="S369" s="6">
        <f>IF(N369&lt;&gt;"",N369,"")</f>
        <v>88</v>
      </c>
    </row>
    <row r="370" spans="1:19" ht="15" customHeight="1" x14ac:dyDescent="0.3">
      <c r="A370" s="2" t="s">
        <v>1822</v>
      </c>
      <c r="B370" s="2" t="s">
        <v>1823</v>
      </c>
      <c r="C370" s="2" t="s">
        <v>1824</v>
      </c>
      <c r="D370" s="2" t="s">
        <v>1798</v>
      </c>
      <c r="E370" s="2">
        <v>1</v>
      </c>
      <c r="F370" s="2">
        <v>1</v>
      </c>
      <c r="G370" s="2">
        <v>0</v>
      </c>
      <c r="H370" s="2" t="s">
        <v>49</v>
      </c>
      <c r="I370" s="2" t="s">
        <v>1825</v>
      </c>
      <c r="J370" s="2" t="s">
        <v>1826</v>
      </c>
      <c r="K370" s="2" t="s">
        <v>1798</v>
      </c>
      <c r="L370" s="4">
        <v>19</v>
      </c>
      <c r="M370" s="5">
        <v>6.44</v>
      </c>
      <c r="N370" s="6">
        <f>L370*M370</f>
        <v>122.36000000000001</v>
      </c>
      <c r="O370" s="2" t="s">
        <v>51</v>
      </c>
      <c r="P370" s="7">
        <v>0.21052599999999999</v>
      </c>
      <c r="S370" s="6">
        <f>IF(N370&lt;&gt;"",N370,"")</f>
        <v>122.36000000000001</v>
      </c>
    </row>
    <row r="371" spans="1:19" ht="15" customHeight="1" x14ac:dyDescent="0.3">
      <c r="A371" s="2" t="s">
        <v>1827</v>
      </c>
      <c r="B371" s="2" t="s">
        <v>1828</v>
      </c>
      <c r="C371" s="2" t="s">
        <v>1829</v>
      </c>
      <c r="D371" s="2" t="s">
        <v>1798</v>
      </c>
      <c r="E371" s="2">
        <v>1</v>
      </c>
      <c r="F371" s="2">
        <v>0</v>
      </c>
      <c r="G371" s="2">
        <v>0</v>
      </c>
      <c r="H371" s="8" t="s">
        <v>67</v>
      </c>
      <c r="I371" s="2" t="s">
        <v>1830</v>
      </c>
      <c r="J371" s="2" t="s">
        <v>1831</v>
      </c>
      <c r="R371" s="9">
        <v>135</v>
      </c>
      <c r="S371" s="6">
        <f>R371</f>
        <v>135</v>
      </c>
    </row>
    <row r="372" spans="1:19" ht="15" customHeight="1" x14ac:dyDescent="0.3">
      <c r="A372" s="2" t="s">
        <v>1832</v>
      </c>
      <c r="B372" s="2" t="s">
        <v>1833</v>
      </c>
      <c r="C372" s="2" t="s">
        <v>1834</v>
      </c>
      <c r="D372" s="2" t="s">
        <v>1798</v>
      </c>
      <c r="E372" s="2">
        <v>1</v>
      </c>
      <c r="F372" s="2">
        <v>0</v>
      </c>
      <c r="G372" s="2">
        <v>0</v>
      </c>
      <c r="H372" s="8" t="s">
        <v>67</v>
      </c>
      <c r="I372" s="2" t="s">
        <v>1835</v>
      </c>
      <c r="J372" s="2" t="s">
        <v>1836</v>
      </c>
      <c r="R372" s="9">
        <v>135</v>
      </c>
      <c r="S372" s="6">
        <f>R372</f>
        <v>135</v>
      </c>
    </row>
    <row r="373" spans="1:19" ht="15" customHeight="1" x14ac:dyDescent="0.3">
      <c r="A373" s="2" t="s">
        <v>1837</v>
      </c>
      <c r="B373" s="2" t="s">
        <v>1838</v>
      </c>
      <c r="C373" s="2" t="s">
        <v>1839</v>
      </c>
      <c r="D373" s="2" t="s">
        <v>1840</v>
      </c>
      <c r="E373" s="2">
        <v>1</v>
      </c>
      <c r="F373" s="2">
        <v>1</v>
      </c>
      <c r="G373" s="2">
        <v>0</v>
      </c>
      <c r="H373" s="2" t="s">
        <v>49</v>
      </c>
      <c r="I373" s="2" t="s">
        <v>1838</v>
      </c>
      <c r="J373" s="2" t="s">
        <v>1841</v>
      </c>
      <c r="K373" s="2" t="s">
        <v>1842</v>
      </c>
      <c r="L373" s="4">
        <v>16</v>
      </c>
      <c r="M373" s="5">
        <v>5</v>
      </c>
      <c r="N373" s="6">
        <f>L373*M373</f>
        <v>80</v>
      </c>
      <c r="O373" s="2" t="s">
        <v>51</v>
      </c>
      <c r="P373" s="7">
        <v>0.38281199999999999</v>
      </c>
      <c r="S373" s="6">
        <f t="shared" ref="S373:S379" si="36">IF(N373&lt;&gt;"",N373,"")</f>
        <v>80</v>
      </c>
    </row>
    <row r="374" spans="1:19" ht="15" customHeight="1" x14ac:dyDescent="0.3">
      <c r="A374" s="2" t="s">
        <v>1843</v>
      </c>
      <c r="B374" s="2" t="s">
        <v>1844</v>
      </c>
      <c r="C374" s="2" t="s">
        <v>1845</v>
      </c>
      <c r="D374" s="2" t="s">
        <v>1842</v>
      </c>
      <c r="E374" s="2">
        <v>2</v>
      </c>
      <c r="F374" s="2">
        <v>0</v>
      </c>
      <c r="G374" s="2">
        <v>0</v>
      </c>
      <c r="H374" s="2" t="s">
        <v>115</v>
      </c>
      <c r="I374" s="2" t="s">
        <v>1846</v>
      </c>
      <c r="J374" s="2" t="s">
        <v>1843</v>
      </c>
      <c r="K374" s="2" t="s">
        <v>1847</v>
      </c>
      <c r="S374" s="6" t="str">
        <f t="shared" si="36"/>
        <v/>
      </c>
    </row>
    <row r="375" spans="1:19" ht="15" customHeight="1" x14ac:dyDescent="0.3">
      <c r="A375" s="2" t="s">
        <v>1848</v>
      </c>
      <c r="B375" s="2" t="s">
        <v>1849</v>
      </c>
      <c r="C375" s="2" t="s">
        <v>1850</v>
      </c>
      <c r="D375" s="2" t="s">
        <v>1847</v>
      </c>
      <c r="E375" s="2">
        <v>1</v>
      </c>
      <c r="F375" s="2">
        <v>0</v>
      </c>
      <c r="G375" s="2">
        <v>0</v>
      </c>
      <c r="H375" s="2" t="s">
        <v>55</v>
      </c>
      <c r="I375" s="2" t="s">
        <v>1851</v>
      </c>
      <c r="J375" s="2" t="s">
        <v>1852</v>
      </c>
      <c r="K375" s="2" t="s">
        <v>1853</v>
      </c>
      <c r="L375" s="4">
        <v>16</v>
      </c>
      <c r="M375" s="5">
        <v>7.38</v>
      </c>
      <c r="N375" s="6">
        <f>L375*M375</f>
        <v>118.08</v>
      </c>
      <c r="O375" s="2" t="s">
        <v>51</v>
      </c>
      <c r="P375" s="7">
        <v>0.25</v>
      </c>
      <c r="S375" s="6">
        <f t="shared" si="36"/>
        <v>118.08</v>
      </c>
    </row>
    <row r="376" spans="1:19" ht="15" customHeight="1" x14ac:dyDescent="0.3">
      <c r="A376" s="2" t="s">
        <v>1854</v>
      </c>
      <c r="B376" s="2" t="s">
        <v>1855</v>
      </c>
      <c r="C376" s="2" t="s">
        <v>1856</v>
      </c>
      <c r="D376" s="2" t="s">
        <v>1847</v>
      </c>
      <c r="E376" s="2">
        <v>1</v>
      </c>
      <c r="F376" s="2">
        <v>1</v>
      </c>
      <c r="G376" s="2">
        <v>0</v>
      </c>
      <c r="H376" s="2" t="s">
        <v>49</v>
      </c>
      <c r="I376" s="2" t="s">
        <v>1855</v>
      </c>
      <c r="J376" s="2" t="s">
        <v>1857</v>
      </c>
      <c r="K376" s="2" t="s">
        <v>1847</v>
      </c>
      <c r="L376" s="4">
        <v>18</v>
      </c>
      <c r="M376" s="5">
        <v>13.7</v>
      </c>
      <c r="N376" s="6">
        <f>L376*M376</f>
        <v>246.6</v>
      </c>
      <c r="O376" s="2" t="s">
        <v>51</v>
      </c>
      <c r="P376" s="7">
        <v>0.61111099999999996</v>
      </c>
      <c r="S376" s="6">
        <f t="shared" si="36"/>
        <v>246.6</v>
      </c>
    </row>
    <row r="377" spans="1:19" ht="15" customHeight="1" x14ac:dyDescent="0.3">
      <c r="A377" s="2" t="s">
        <v>1858</v>
      </c>
      <c r="B377" s="2" t="s">
        <v>1859</v>
      </c>
      <c r="C377" s="2" t="s">
        <v>1860</v>
      </c>
      <c r="D377" s="2" t="s">
        <v>1847</v>
      </c>
      <c r="E377" s="2">
        <v>1</v>
      </c>
      <c r="F377" s="2">
        <v>1</v>
      </c>
      <c r="G377" s="2">
        <v>1</v>
      </c>
      <c r="H377" s="2" t="s">
        <v>49</v>
      </c>
      <c r="I377" s="2" t="s">
        <v>1861</v>
      </c>
      <c r="J377" s="2" t="s">
        <v>1862</v>
      </c>
      <c r="K377" s="2" t="s">
        <v>1847</v>
      </c>
      <c r="L377" s="4">
        <v>15</v>
      </c>
      <c r="M377" s="5">
        <v>6.25</v>
      </c>
      <c r="N377" s="6">
        <f>L377*M377</f>
        <v>93.75</v>
      </c>
      <c r="O377" s="2" t="s">
        <v>51</v>
      </c>
      <c r="P377" s="7">
        <v>0.35</v>
      </c>
      <c r="S377" s="6">
        <f t="shared" si="36"/>
        <v>93.75</v>
      </c>
    </row>
    <row r="378" spans="1:19" ht="15" customHeight="1" x14ac:dyDescent="0.3">
      <c r="A378" s="2" t="s">
        <v>1863</v>
      </c>
      <c r="B378" s="2" t="s">
        <v>1864</v>
      </c>
      <c r="C378" s="2" t="s">
        <v>1865</v>
      </c>
      <c r="D378" s="2" t="s">
        <v>1847</v>
      </c>
      <c r="E378" s="2">
        <v>1</v>
      </c>
      <c r="F378" s="2">
        <v>1</v>
      </c>
      <c r="G378" s="2">
        <v>0</v>
      </c>
      <c r="H378" s="2" t="s">
        <v>55</v>
      </c>
      <c r="I378" s="2" t="s">
        <v>1866</v>
      </c>
      <c r="J378" s="2" t="s">
        <v>1867</v>
      </c>
      <c r="K378" s="2" t="s">
        <v>1853</v>
      </c>
      <c r="L378" s="4">
        <v>21</v>
      </c>
      <c r="M378" s="5">
        <v>24</v>
      </c>
      <c r="N378" s="6">
        <f>L378*M378</f>
        <v>504</v>
      </c>
      <c r="O378" s="2" t="s">
        <v>51</v>
      </c>
      <c r="P378" s="7">
        <v>0.35714299999999999</v>
      </c>
      <c r="S378" s="6">
        <f t="shared" si="36"/>
        <v>504</v>
      </c>
    </row>
    <row r="379" spans="1:19" ht="15" customHeight="1" x14ac:dyDescent="0.3">
      <c r="A379" s="2" t="s">
        <v>1868</v>
      </c>
      <c r="B379" s="2" t="s">
        <v>1869</v>
      </c>
      <c r="C379" s="2" t="s">
        <v>1870</v>
      </c>
      <c r="D379" s="2" t="s">
        <v>1853</v>
      </c>
      <c r="E379" s="2">
        <v>1</v>
      </c>
      <c r="F379" s="2">
        <v>1</v>
      </c>
      <c r="G379" s="2">
        <v>0</v>
      </c>
      <c r="H379" s="2" t="s">
        <v>49</v>
      </c>
      <c r="I379" s="2" t="s">
        <v>1869</v>
      </c>
      <c r="J379" s="2" t="s">
        <v>1871</v>
      </c>
      <c r="K379" s="2" t="s">
        <v>1847</v>
      </c>
      <c r="L379" s="4">
        <v>14</v>
      </c>
      <c r="M379" s="5">
        <v>5</v>
      </c>
      <c r="N379" s="6">
        <f>L379*M379</f>
        <v>70</v>
      </c>
      <c r="O379" s="2" t="s">
        <v>51</v>
      </c>
      <c r="P379" s="7">
        <v>0</v>
      </c>
      <c r="S379" s="6">
        <f t="shared" si="36"/>
        <v>70</v>
      </c>
    </row>
    <row r="380" spans="1:19" ht="15" customHeight="1" x14ac:dyDescent="0.3">
      <c r="A380" s="2" t="s">
        <v>1872</v>
      </c>
      <c r="B380" s="2" t="s">
        <v>1873</v>
      </c>
      <c r="C380" s="2" t="s">
        <v>1874</v>
      </c>
      <c r="D380" s="2" t="s">
        <v>1875</v>
      </c>
      <c r="E380" s="2">
        <v>1</v>
      </c>
      <c r="F380" s="2">
        <v>0</v>
      </c>
      <c r="G380" s="2">
        <v>1</v>
      </c>
      <c r="H380" s="8" t="s">
        <v>67</v>
      </c>
      <c r="I380" s="2" t="s">
        <v>1876</v>
      </c>
      <c r="J380" s="2" t="s">
        <v>1872</v>
      </c>
      <c r="R380" s="9">
        <v>135</v>
      </c>
      <c r="S380" s="6">
        <f>R380</f>
        <v>135</v>
      </c>
    </row>
    <row r="381" spans="1:19" ht="15" customHeight="1" x14ac:dyDescent="0.3">
      <c r="A381" s="2" t="s">
        <v>1877</v>
      </c>
      <c r="B381" s="2" t="s">
        <v>1878</v>
      </c>
      <c r="C381" s="2" t="s">
        <v>1879</v>
      </c>
      <c r="D381" s="2" t="s">
        <v>1880</v>
      </c>
      <c r="E381" s="2">
        <v>1</v>
      </c>
      <c r="F381" s="2">
        <v>1</v>
      </c>
      <c r="G381" s="2">
        <v>0</v>
      </c>
      <c r="H381" s="2" t="s">
        <v>49</v>
      </c>
      <c r="I381" s="2" t="s">
        <v>1878</v>
      </c>
      <c r="J381" s="2" t="s">
        <v>1881</v>
      </c>
      <c r="K381" s="2" t="s">
        <v>1882</v>
      </c>
      <c r="L381" s="4">
        <v>15</v>
      </c>
      <c r="M381" s="5">
        <v>5</v>
      </c>
      <c r="N381" s="6">
        <f>L381*M381</f>
        <v>75</v>
      </c>
      <c r="O381" s="2" t="s">
        <v>51</v>
      </c>
      <c r="P381" s="7">
        <v>2.08333E-3</v>
      </c>
      <c r="S381" s="6">
        <f>IF(N381&lt;&gt;"",N381,"")</f>
        <v>75</v>
      </c>
    </row>
    <row r="382" spans="1:19" ht="15" customHeight="1" x14ac:dyDescent="0.3">
      <c r="A382" s="2" t="s">
        <v>1883</v>
      </c>
      <c r="B382" s="2" t="s">
        <v>1884</v>
      </c>
      <c r="C382" s="2" t="s">
        <v>1885</v>
      </c>
      <c r="D382" s="2" t="s">
        <v>1880</v>
      </c>
      <c r="E382" s="2">
        <v>1</v>
      </c>
      <c r="F382" s="2">
        <v>0</v>
      </c>
      <c r="G382" s="2">
        <v>0</v>
      </c>
      <c r="H382" s="2" t="s">
        <v>49</v>
      </c>
      <c r="I382" s="2" t="s">
        <v>1886</v>
      </c>
      <c r="J382" s="2" t="s">
        <v>1887</v>
      </c>
      <c r="K382" s="2" t="s">
        <v>1882</v>
      </c>
      <c r="L382" s="4">
        <v>16.5</v>
      </c>
      <c r="M382" s="5">
        <v>10</v>
      </c>
      <c r="N382" s="6">
        <f>L382*M382</f>
        <v>165</v>
      </c>
      <c r="O382" s="2" t="s">
        <v>51</v>
      </c>
      <c r="P382" s="7">
        <v>3.0303E-2</v>
      </c>
      <c r="S382" s="6">
        <f>IF(N382&lt;&gt;"",N382,"")</f>
        <v>165</v>
      </c>
    </row>
    <row r="383" spans="1:19" ht="15" customHeight="1" x14ac:dyDescent="0.3">
      <c r="A383" s="2" t="s">
        <v>1888</v>
      </c>
      <c r="B383" s="2" t="s">
        <v>1889</v>
      </c>
      <c r="C383" s="2" t="s">
        <v>1890</v>
      </c>
      <c r="D383" s="2" t="s">
        <v>1882</v>
      </c>
      <c r="E383" s="2">
        <v>1</v>
      </c>
      <c r="F383" s="2">
        <v>1</v>
      </c>
      <c r="G383" s="2">
        <v>0</v>
      </c>
      <c r="H383" s="2" t="s">
        <v>49</v>
      </c>
      <c r="I383" s="2" t="s">
        <v>1891</v>
      </c>
      <c r="J383" s="2" t="s">
        <v>1892</v>
      </c>
      <c r="K383" s="2" t="s">
        <v>1893</v>
      </c>
      <c r="L383" s="4">
        <v>8</v>
      </c>
      <c r="M383" s="5">
        <v>4</v>
      </c>
      <c r="N383" s="6">
        <f>L383*M383</f>
        <v>32</v>
      </c>
      <c r="O383" s="2" t="s">
        <v>51</v>
      </c>
      <c r="P383" s="7">
        <v>6.4453099999999999E-2</v>
      </c>
      <c r="S383" s="6">
        <f>IF(N383&lt;&gt;"",N383,"")</f>
        <v>32</v>
      </c>
    </row>
    <row r="384" spans="1:19" ht="15" customHeight="1" x14ac:dyDescent="0.3">
      <c r="A384" s="2" t="s">
        <v>1894</v>
      </c>
      <c r="B384" s="2" t="s">
        <v>1895</v>
      </c>
      <c r="C384" s="2" t="s">
        <v>1896</v>
      </c>
      <c r="D384" s="2" t="s">
        <v>1882</v>
      </c>
      <c r="E384" s="2">
        <v>1</v>
      </c>
      <c r="F384" s="2">
        <v>0</v>
      </c>
      <c r="G384" s="2">
        <v>0</v>
      </c>
      <c r="H384" s="8" t="s">
        <v>67</v>
      </c>
      <c r="I384" s="2" t="s">
        <v>1897</v>
      </c>
      <c r="J384" s="2" t="s">
        <v>1898</v>
      </c>
      <c r="R384" s="9">
        <v>135</v>
      </c>
      <c r="S384" s="6">
        <f>R384</f>
        <v>135</v>
      </c>
    </row>
    <row r="385" spans="1:19" ht="15" customHeight="1" x14ac:dyDescent="0.3">
      <c r="A385" s="2" t="s">
        <v>1899</v>
      </c>
      <c r="B385" s="2" t="s">
        <v>1900</v>
      </c>
      <c r="C385" s="2" t="s">
        <v>1901</v>
      </c>
      <c r="D385" s="2" t="s">
        <v>1882</v>
      </c>
      <c r="E385" s="2">
        <v>1</v>
      </c>
      <c r="F385" s="2">
        <v>0</v>
      </c>
      <c r="G385" s="2">
        <v>0</v>
      </c>
      <c r="H385" s="8" t="s">
        <v>138</v>
      </c>
      <c r="R385" s="9">
        <v>135</v>
      </c>
      <c r="S385" s="6">
        <f>R385</f>
        <v>135</v>
      </c>
    </row>
    <row r="386" spans="1:19" ht="15" customHeight="1" x14ac:dyDescent="0.3">
      <c r="A386" s="2" t="s">
        <v>1902</v>
      </c>
      <c r="B386" s="2" t="s">
        <v>1903</v>
      </c>
      <c r="C386" s="2" t="s">
        <v>1904</v>
      </c>
      <c r="D386" s="2" t="s">
        <v>1893</v>
      </c>
      <c r="E386" s="2">
        <v>2</v>
      </c>
      <c r="F386" s="2">
        <v>0</v>
      </c>
      <c r="G386" s="2">
        <v>0</v>
      </c>
      <c r="H386" s="2" t="s">
        <v>5</v>
      </c>
      <c r="I386" s="2" t="s">
        <v>1905</v>
      </c>
      <c r="J386" s="2" t="s">
        <v>1906</v>
      </c>
      <c r="K386" s="2" t="s">
        <v>1907</v>
      </c>
      <c r="N386" s="6">
        <v>3450</v>
      </c>
      <c r="O386" s="2" t="s">
        <v>521</v>
      </c>
      <c r="Q386" s="2" t="s">
        <v>1908</v>
      </c>
      <c r="S386" s="6">
        <f>IF(N386&lt;&gt;"",N386,"")</f>
        <v>3450</v>
      </c>
    </row>
    <row r="387" spans="1:19" ht="15" customHeight="1" x14ac:dyDescent="0.3">
      <c r="A387" s="2" t="s">
        <v>1909</v>
      </c>
      <c r="B387" s="2" t="s">
        <v>1910</v>
      </c>
      <c r="C387" s="2" t="s">
        <v>1911</v>
      </c>
      <c r="D387" s="2" t="s">
        <v>1893</v>
      </c>
      <c r="E387" s="2">
        <v>1</v>
      </c>
      <c r="F387" s="2">
        <v>1</v>
      </c>
      <c r="G387" s="2">
        <v>1</v>
      </c>
      <c r="H387" s="2" t="s">
        <v>49</v>
      </c>
      <c r="I387" s="2" t="s">
        <v>1910</v>
      </c>
      <c r="J387" s="2" t="s">
        <v>1912</v>
      </c>
      <c r="K387" s="2" t="s">
        <v>1893</v>
      </c>
      <c r="L387" s="4">
        <v>8</v>
      </c>
      <c r="M387" s="5">
        <v>4.3</v>
      </c>
      <c r="N387" s="6">
        <f>L387*M387</f>
        <v>34.4</v>
      </c>
      <c r="O387" s="2" t="s">
        <v>51</v>
      </c>
      <c r="P387" s="7">
        <v>5.8593800000000001E-2</v>
      </c>
      <c r="S387" s="6">
        <f>IF(N387&lt;&gt;"",N387,"")</f>
        <v>34.4</v>
      </c>
    </row>
    <row r="388" spans="1:19" ht="15" customHeight="1" x14ac:dyDescent="0.3">
      <c r="A388" s="2" t="s">
        <v>1913</v>
      </c>
      <c r="B388" s="2" t="s">
        <v>1914</v>
      </c>
      <c r="C388" s="2" t="s">
        <v>1915</v>
      </c>
      <c r="D388" s="2" t="s">
        <v>1893</v>
      </c>
      <c r="E388" s="2">
        <v>1</v>
      </c>
      <c r="F388" s="2">
        <v>0</v>
      </c>
      <c r="G388" s="2">
        <v>0</v>
      </c>
      <c r="H388" s="8" t="s">
        <v>67</v>
      </c>
      <c r="I388" s="2" t="s">
        <v>1916</v>
      </c>
      <c r="J388" s="2" t="s">
        <v>1913</v>
      </c>
      <c r="R388" s="9">
        <v>135</v>
      </c>
      <c r="S388" s="6">
        <f>R388</f>
        <v>135</v>
      </c>
    </row>
    <row r="389" spans="1:19" ht="15" customHeight="1" x14ac:dyDescent="0.3">
      <c r="A389" s="2" t="s">
        <v>1917</v>
      </c>
      <c r="B389" s="2" t="s">
        <v>1918</v>
      </c>
      <c r="C389" s="2" t="s">
        <v>1919</v>
      </c>
      <c r="D389" s="2" t="s">
        <v>1920</v>
      </c>
      <c r="E389" s="2">
        <v>1</v>
      </c>
      <c r="F389" s="2">
        <v>0</v>
      </c>
      <c r="G389" s="2">
        <v>0</v>
      </c>
      <c r="H389" s="2" t="s">
        <v>49</v>
      </c>
      <c r="I389" s="2" t="s">
        <v>1921</v>
      </c>
      <c r="J389" s="2" t="s">
        <v>1922</v>
      </c>
      <c r="K389" s="2" t="s">
        <v>1923</v>
      </c>
      <c r="L389" s="4">
        <v>20</v>
      </c>
      <c r="M389" s="5">
        <v>35</v>
      </c>
      <c r="N389" s="6">
        <f>L389*M389</f>
        <v>700</v>
      </c>
      <c r="O389" s="2" t="s">
        <v>51</v>
      </c>
      <c r="P389" s="7">
        <v>0.1</v>
      </c>
      <c r="S389" s="6">
        <f>IF(N389&lt;&gt;"",N389,"")</f>
        <v>700</v>
      </c>
    </row>
    <row r="390" spans="1:19" ht="15" customHeight="1" x14ac:dyDescent="0.3">
      <c r="A390" s="2" t="s">
        <v>1924</v>
      </c>
      <c r="B390" s="2" t="s">
        <v>1925</v>
      </c>
      <c r="C390" s="2" t="s">
        <v>1926</v>
      </c>
      <c r="D390" s="2" t="s">
        <v>1920</v>
      </c>
      <c r="E390" s="2">
        <v>2</v>
      </c>
      <c r="F390" s="2">
        <v>0</v>
      </c>
      <c r="G390" s="2">
        <v>0</v>
      </c>
      <c r="H390" s="2" t="s">
        <v>373</v>
      </c>
      <c r="S390" s="6" t="str">
        <f>IF(N390&lt;&gt;"",N390,"")</f>
        <v/>
      </c>
    </row>
    <row r="391" spans="1:19" ht="15" customHeight="1" x14ac:dyDescent="0.3">
      <c r="A391" s="2" t="s">
        <v>1927</v>
      </c>
      <c r="B391" s="2" t="s">
        <v>1928</v>
      </c>
      <c r="C391" s="2" t="s">
        <v>1929</v>
      </c>
      <c r="D391" s="2" t="s">
        <v>1920</v>
      </c>
      <c r="E391" s="2">
        <v>1</v>
      </c>
      <c r="F391" s="2">
        <v>1</v>
      </c>
      <c r="G391" s="2">
        <v>0</v>
      </c>
      <c r="H391" s="2" t="s">
        <v>49</v>
      </c>
      <c r="I391" s="2" t="s">
        <v>1928</v>
      </c>
      <c r="J391" s="2" t="s">
        <v>1930</v>
      </c>
      <c r="K391" s="2" t="s">
        <v>1920</v>
      </c>
      <c r="L391" s="4">
        <v>14</v>
      </c>
      <c r="M391" s="5">
        <v>6</v>
      </c>
      <c r="N391" s="6">
        <f>L391*M391</f>
        <v>84</v>
      </c>
      <c r="O391" s="2" t="s">
        <v>51</v>
      </c>
      <c r="P391" s="7">
        <v>0</v>
      </c>
      <c r="S391" s="6">
        <f>IF(N391&lt;&gt;"",N391,"")</f>
        <v>84</v>
      </c>
    </row>
    <row r="392" spans="1:19" ht="15" customHeight="1" x14ac:dyDescent="0.3">
      <c r="A392" s="2" t="s">
        <v>1931</v>
      </c>
      <c r="B392" s="2" t="s">
        <v>1932</v>
      </c>
      <c r="C392" s="2" t="s">
        <v>1933</v>
      </c>
      <c r="D392" s="2" t="s">
        <v>1920</v>
      </c>
      <c r="E392" s="2">
        <v>1</v>
      </c>
      <c r="F392" s="2">
        <v>0</v>
      </c>
      <c r="G392" s="2">
        <v>0</v>
      </c>
      <c r="H392" s="2" t="s">
        <v>49</v>
      </c>
      <c r="I392" s="2" t="s">
        <v>1932</v>
      </c>
      <c r="J392" s="2" t="s">
        <v>1934</v>
      </c>
      <c r="K392" s="2" t="s">
        <v>1923</v>
      </c>
      <c r="L392" s="4">
        <v>13</v>
      </c>
      <c r="M392" s="5">
        <v>5.5</v>
      </c>
      <c r="N392" s="6">
        <f>L392*M392</f>
        <v>71.5</v>
      </c>
      <c r="O392" s="2" t="s">
        <v>51</v>
      </c>
      <c r="P392" s="7">
        <v>0.543269</v>
      </c>
      <c r="S392" s="6">
        <f>IF(N392&lt;&gt;"",N392,"")</f>
        <v>71.5</v>
      </c>
    </row>
    <row r="393" spans="1:19" ht="15" customHeight="1" x14ac:dyDescent="0.3">
      <c r="A393" s="2" t="s">
        <v>1935</v>
      </c>
      <c r="C393" s="2" t="s">
        <v>1936</v>
      </c>
      <c r="D393" s="2" t="s">
        <v>1907</v>
      </c>
      <c r="E393" s="2">
        <v>1</v>
      </c>
      <c r="F393" s="2">
        <v>1</v>
      </c>
      <c r="G393" s="2">
        <v>0</v>
      </c>
      <c r="H393" s="8" t="s">
        <v>454</v>
      </c>
      <c r="R393" s="9">
        <v>135</v>
      </c>
      <c r="S393" s="6">
        <f>R393</f>
        <v>135</v>
      </c>
    </row>
    <row r="394" spans="1:19" ht="15" customHeight="1" x14ac:dyDescent="0.3">
      <c r="A394" s="2" t="s">
        <v>1937</v>
      </c>
      <c r="B394" s="2" t="s">
        <v>1938</v>
      </c>
      <c r="C394" s="2" t="s">
        <v>1939</v>
      </c>
      <c r="D394" s="2" t="s">
        <v>1907</v>
      </c>
      <c r="E394" s="2">
        <v>1</v>
      </c>
      <c r="F394" s="2">
        <v>0</v>
      </c>
      <c r="G394" s="2">
        <v>0</v>
      </c>
      <c r="H394" s="2" t="s">
        <v>49</v>
      </c>
      <c r="I394" s="2" t="s">
        <v>1940</v>
      </c>
      <c r="J394" s="2" t="s">
        <v>1941</v>
      </c>
      <c r="K394" s="2" t="s">
        <v>1907</v>
      </c>
      <c r="L394" s="4">
        <v>15</v>
      </c>
      <c r="M394" s="5">
        <v>10.18</v>
      </c>
      <c r="N394" s="6">
        <f>L394*M394</f>
        <v>152.69999999999999</v>
      </c>
      <c r="O394" s="2" t="s">
        <v>51</v>
      </c>
      <c r="P394" s="7">
        <v>6.6666699999999995E-2</v>
      </c>
      <c r="S394" s="6">
        <f>IF(N394&lt;&gt;"",N394,"")</f>
        <v>152.69999999999999</v>
      </c>
    </row>
    <row r="395" spans="1:19" ht="15" customHeight="1" x14ac:dyDescent="0.3">
      <c r="A395" s="2" t="s">
        <v>1942</v>
      </c>
      <c r="B395" s="2" t="s">
        <v>1943</v>
      </c>
      <c r="C395" s="2" t="s">
        <v>1944</v>
      </c>
      <c r="D395" s="2" t="s">
        <v>1945</v>
      </c>
      <c r="E395" s="2">
        <v>2</v>
      </c>
      <c r="F395" s="2">
        <v>0</v>
      </c>
      <c r="G395" s="2">
        <v>0</v>
      </c>
      <c r="H395" s="2" t="s">
        <v>115</v>
      </c>
      <c r="I395" s="2" t="s">
        <v>1946</v>
      </c>
      <c r="J395" s="2" t="s">
        <v>1947</v>
      </c>
      <c r="S395" s="6" t="str">
        <f>IF(N395&lt;&gt;"",N395,"")</f>
        <v/>
      </c>
    </row>
    <row r="396" spans="1:19" ht="15" customHeight="1" x14ac:dyDescent="0.3">
      <c r="A396" s="2" t="s">
        <v>1948</v>
      </c>
      <c r="B396" s="2" t="s">
        <v>1949</v>
      </c>
      <c r="C396" s="2" t="s">
        <v>1950</v>
      </c>
      <c r="D396" s="2" t="s">
        <v>1945</v>
      </c>
      <c r="E396" s="2">
        <v>2</v>
      </c>
      <c r="F396" s="2">
        <v>0</v>
      </c>
      <c r="G396" s="2">
        <v>1</v>
      </c>
      <c r="H396" s="2" t="s">
        <v>115</v>
      </c>
      <c r="I396" s="2" t="s">
        <v>1951</v>
      </c>
      <c r="J396" s="2" t="s">
        <v>1948</v>
      </c>
      <c r="S396" s="6" t="str">
        <f>IF(N396&lt;&gt;"",N396,"")</f>
        <v/>
      </c>
    </row>
    <row r="397" spans="1:19" ht="15" customHeight="1" x14ac:dyDescent="0.3">
      <c r="A397" s="2" t="s">
        <v>1952</v>
      </c>
      <c r="B397" s="2" t="s">
        <v>1953</v>
      </c>
      <c r="C397" s="2" t="s">
        <v>1954</v>
      </c>
      <c r="D397" s="2" t="s">
        <v>1955</v>
      </c>
      <c r="E397" s="2">
        <v>1</v>
      </c>
      <c r="F397" s="2">
        <v>0</v>
      </c>
      <c r="G397" s="2">
        <v>0</v>
      </c>
      <c r="H397" s="2" t="s">
        <v>55</v>
      </c>
      <c r="I397" s="2" t="s">
        <v>1956</v>
      </c>
      <c r="J397" s="2" t="s">
        <v>1957</v>
      </c>
      <c r="K397" s="2" t="s">
        <v>1958</v>
      </c>
      <c r="L397" s="4">
        <v>6</v>
      </c>
      <c r="M397" s="5">
        <v>1</v>
      </c>
      <c r="N397" s="6">
        <f>L397*M397</f>
        <v>6</v>
      </c>
      <c r="O397" s="2" t="s">
        <v>51</v>
      </c>
      <c r="P397" s="7">
        <v>0</v>
      </c>
      <c r="S397" s="6">
        <f>IF(N397&lt;&gt;"",N397,"")</f>
        <v>6</v>
      </c>
    </row>
    <row r="398" spans="1:19" ht="15" customHeight="1" x14ac:dyDescent="0.3">
      <c r="A398" s="2" t="s">
        <v>1959</v>
      </c>
      <c r="B398" s="2" t="s">
        <v>1960</v>
      </c>
      <c r="C398" s="2" t="s">
        <v>1961</v>
      </c>
      <c r="D398" s="2" t="s">
        <v>1962</v>
      </c>
      <c r="E398" s="2">
        <v>2</v>
      </c>
      <c r="F398" s="2">
        <v>0</v>
      </c>
      <c r="G398" s="2">
        <v>0</v>
      </c>
      <c r="H398" s="2" t="s">
        <v>115</v>
      </c>
      <c r="I398" s="2" t="s">
        <v>1963</v>
      </c>
      <c r="J398" s="2" t="s">
        <v>1964</v>
      </c>
      <c r="S398" s="6" t="str">
        <f>IF(N398&lt;&gt;"",N398,"")</f>
        <v/>
      </c>
    </row>
    <row r="399" spans="1:19" ht="15" customHeight="1" x14ac:dyDescent="0.3">
      <c r="A399" s="2" t="s">
        <v>1965</v>
      </c>
      <c r="B399" s="2" t="s">
        <v>1966</v>
      </c>
      <c r="C399" s="2" t="s">
        <v>1967</v>
      </c>
      <c r="D399" s="2" t="s">
        <v>1962</v>
      </c>
      <c r="E399" s="2">
        <v>1</v>
      </c>
      <c r="F399" s="2">
        <v>1</v>
      </c>
      <c r="G399" s="2">
        <v>0</v>
      </c>
      <c r="H399" s="8" t="s">
        <v>67</v>
      </c>
      <c r="I399" s="2" t="s">
        <v>1968</v>
      </c>
      <c r="J399" s="2" t="s">
        <v>1965</v>
      </c>
      <c r="K399" s="2" t="s">
        <v>1969</v>
      </c>
      <c r="R399" s="9">
        <v>135</v>
      </c>
      <c r="S399" s="6">
        <f>R399</f>
        <v>135</v>
      </c>
    </row>
    <row r="400" spans="1:19" ht="15" customHeight="1" x14ac:dyDescent="0.3">
      <c r="A400" s="2" t="s">
        <v>1970</v>
      </c>
      <c r="B400" s="2" t="s">
        <v>1971</v>
      </c>
      <c r="C400" s="2" t="s">
        <v>1972</v>
      </c>
      <c r="D400" s="2" t="s">
        <v>1962</v>
      </c>
      <c r="E400" s="2">
        <v>1</v>
      </c>
      <c r="F400" s="2">
        <v>1</v>
      </c>
      <c r="G400" s="2">
        <v>0</v>
      </c>
      <c r="H400" s="2" t="s">
        <v>49</v>
      </c>
      <c r="I400" s="2" t="s">
        <v>1973</v>
      </c>
      <c r="J400" s="2" t="s">
        <v>1974</v>
      </c>
      <c r="K400" s="2" t="s">
        <v>1962</v>
      </c>
      <c r="L400" s="4">
        <v>7</v>
      </c>
      <c r="M400" s="5">
        <v>6.4</v>
      </c>
      <c r="N400" s="6">
        <f>L400*M400</f>
        <v>44.800000000000004</v>
      </c>
      <c r="O400" s="2" t="s">
        <v>51</v>
      </c>
      <c r="P400" s="7">
        <v>4.4642900000000001E-3</v>
      </c>
      <c r="S400" s="6">
        <f>IF(N400&lt;&gt;"",N400,"")</f>
        <v>44.800000000000004</v>
      </c>
    </row>
    <row r="401" spans="1:19" ht="15" customHeight="1" x14ac:dyDescent="0.3">
      <c r="A401" s="2" t="s">
        <v>1975</v>
      </c>
      <c r="B401" s="2" t="s">
        <v>1976</v>
      </c>
      <c r="C401" s="2" t="s">
        <v>1977</v>
      </c>
      <c r="D401" s="2" t="s">
        <v>1969</v>
      </c>
      <c r="E401" s="2">
        <v>1</v>
      </c>
      <c r="F401" s="2">
        <v>0</v>
      </c>
      <c r="G401" s="2">
        <v>0</v>
      </c>
      <c r="H401" s="8" t="s">
        <v>67</v>
      </c>
      <c r="I401" s="2" t="s">
        <v>1978</v>
      </c>
      <c r="J401" s="2" t="s">
        <v>1975</v>
      </c>
      <c r="R401" s="9">
        <v>135</v>
      </c>
      <c r="S401" s="6">
        <f>R401</f>
        <v>135</v>
      </c>
    </row>
    <row r="402" spans="1:19" ht="15" customHeight="1" x14ac:dyDescent="0.3">
      <c r="A402" s="2" t="s">
        <v>1979</v>
      </c>
      <c r="B402" s="2" t="s">
        <v>1980</v>
      </c>
      <c r="C402" s="2" t="s">
        <v>1981</v>
      </c>
      <c r="D402" s="2" t="s">
        <v>1982</v>
      </c>
      <c r="E402" s="2">
        <v>1</v>
      </c>
      <c r="F402" s="2">
        <v>1</v>
      </c>
      <c r="G402" s="2">
        <v>0</v>
      </c>
      <c r="H402" s="2" t="s">
        <v>49</v>
      </c>
      <c r="I402" s="2" t="s">
        <v>1983</v>
      </c>
      <c r="J402" s="2" t="s">
        <v>1984</v>
      </c>
      <c r="K402" s="2" t="s">
        <v>1982</v>
      </c>
      <c r="L402" s="4">
        <v>14</v>
      </c>
      <c r="M402" s="5">
        <v>3</v>
      </c>
      <c r="N402" s="6">
        <f>L402*M402</f>
        <v>42</v>
      </c>
      <c r="O402" s="2" t="s">
        <v>51</v>
      </c>
      <c r="P402" s="7">
        <v>0.125</v>
      </c>
      <c r="S402" s="6">
        <f>IF(N402&lt;&gt;"",N402,"")</f>
        <v>42</v>
      </c>
    </row>
    <row r="403" spans="1:19" ht="15" customHeight="1" x14ac:dyDescent="0.3">
      <c r="A403" s="2" t="s">
        <v>1985</v>
      </c>
      <c r="B403" s="2" t="s">
        <v>1986</v>
      </c>
      <c r="C403" s="2" t="s">
        <v>1987</v>
      </c>
      <c r="D403" s="2" t="s">
        <v>1982</v>
      </c>
      <c r="E403" s="2">
        <v>1</v>
      </c>
      <c r="F403" s="2">
        <v>0</v>
      </c>
      <c r="G403" s="2">
        <v>0</v>
      </c>
      <c r="H403" s="2" t="s">
        <v>49</v>
      </c>
      <c r="I403" s="2" t="s">
        <v>1988</v>
      </c>
      <c r="J403" s="2" t="s">
        <v>1989</v>
      </c>
      <c r="K403" s="2" t="s">
        <v>1990</v>
      </c>
      <c r="L403" s="4">
        <v>15</v>
      </c>
      <c r="M403" s="5">
        <v>5.75</v>
      </c>
      <c r="N403" s="6">
        <f>L403*M403</f>
        <v>86.25</v>
      </c>
      <c r="O403" s="2" t="s">
        <v>51</v>
      </c>
      <c r="P403" s="7">
        <v>2.5000000000000001E-2</v>
      </c>
      <c r="S403" s="6">
        <f>IF(N403&lt;&gt;"",N403,"")</f>
        <v>86.25</v>
      </c>
    </row>
    <row r="404" spans="1:19" ht="15" customHeight="1" x14ac:dyDescent="0.3">
      <c r="A404" s="2" t="s">
        <v>1991</v>
      </c>
      <c r="B404" s="2" t="s">
        <v>1992</v>
      </c>
      <c r="C404" s="2" t="s">
        <v>1993</v>
      </c>
      <c r="D404" s="2" t="s">
        <v>1990</v>
      </c>
      <c r="E404" s="2">
        <v>1</v>
      </c>
      <c r="F404" s="2">
        <v>0</v>
      </c>
      <c r="G404" s="2">
        <v>0</v>
      </c>
      <c r="H404" s="8" t="s">
        <v>1994</v>
      </c>
      <c r="I404" s="2" t="s">
        <v>1992</v>
      </c>
      <c r="J404" s="2" t="s">
        <v>1995</v>
      </c>
      <c r="K404" s="2" t="s">
        <v>1990</v>
      </c>
      <c r="R404" s="9">
        <v>135</v>
      </c>
      <c r="S404" s="6">
        <f>R404</f>
        <v>135</v>
      </c>
    </row>
    <row r="405" spans="1:19" ht="15" customHeight="1" x14ac:dyDescent="0.3">
      <c r="A405" s="2" t="s">
        <v>1996</v>
      </c>
      <c r="B405" s="2" t="s">
        <v>1997</v>
      </c>
      <c r="C405" s="2" t="s">
        <v>1998</v>
      </c>
      <c r="D405" s="2" t="s">
        <v>1999</v>
      </c>
      <c r="E405" s="2">
        <v>1</v>
      </c>
      <c r="F405" s="2">
        <v>0</v>
      </c>
      <c r="G405" s="2">
        <v>0</v>
      </c>
      <c r="H405" s="2" t="s">
        <v>49</v>
      </c>
      <c r="I405" s="2" t="s">
        <v>1997</v>
      </c>
      <c r="J405" s="2" t="s">
        <v>2000</v>
      </c>
      <c r="K405" s="2" t="s">
        <v>1999</v>
      </c>
      <c r="L405" s="4">
        <v>11</v>
      </c>
      <c r="M405" s="5">
        <v>10.5</v>
      </c>
      <c r="N405" s="6">
        <f>L405*M405</f>
        <v>115.5</v>
      </c>
      <c r="O405" s="2" t="s">
        <v>51</v>
      </c>
      <c r="P405" s="7">
        <v>0.63636400000000004</v>
      </c>
      <c r="S405" s="6">
        <f t="shared" ref="S405:S419" si="37">IF(N405&lt;&gt;"",N405,"")</f>
        <v>115.5</v>
      </c>
    </row>
    <row r="406" spans="1:19" ht="15" customHeight="1" x14ac:dyDescent="0.3">
      <c r="A406" s="2" t="s">
        <v>2001</v>
      </c>
      <c r="B406" s="2" t="s">
        <v>2002</v>
      </c>
      <c r="C406" s="2" t="s">
        <v>2003</v>
      </c>
      <c r="D406" s="2" t="s">
        <v>2004</v>
      </c>
      <c r="E406" s="2">
        <v>1</v>
      </c>
      <c r="F406" s="2">
        <v>1</v>
      </c>
      <c r="G406" s="2">
        <v>1</v>
      </c>
      <c r="H406" s="2" t="s">
        <v>49</v>
      </c>
      <c r="I406" s="2" t="s">
        <v>2002</v>
      </c>
      <c r="J406" s="2" t="s">
        <v>2005</v>
      </c>
      <c r="K406" s="2" t="s">
        <v>2004</v>
      </c>
      <c r="L406" s="4">
        <v>21</v>
      </c>
      <c r="M406" s="5">
        <v>13</v>
      </c>
      <c r="N406" s="6">
        <f>L406*M406</f>
        <v>273</v>
      </c>
      <c r="O406" s="2" t="s">
        <v>51</v>
      </c>
      <c r="P406" s="7">
        <v>1.09524</v>
      </c>
      <c r="S406" s="6">
        <f t="shared" si="37"/>
        <v>273</v>
      </c>
    </row>
    <row r="407" spans="1:19" ht="15" customHeight="1" x14ac:dyDescent="0.3">
      <c r="A407" s="2" t="s">
        <v>2006</v>
      </c>
      <c r="B407" s="2" t="s">
        <v>2007</v>
      </c>
      <c r="C407" s="2" t="s">
        <v>2008</v>
      </c>
      <c r="D407" s="2" t="s">
        <v>2009</v>
      </c>
      <c r="E407" s="2">
        <v>2</v>
      </c>
      <c r="F407" s="2">
        <v>0</v>
      </c>
      <c r="G407" s="2">
        <v>0</v>
      </c>
      <c r="H407" s="2" t="s">
        <v>2010</v>
      </c>
      <c r="S407" s="6" t="str">
        <f t="shared" si="37"/>
        <v/>
      </c>
    </row>
    <row r="408" spans="1:19" ht="15" customHeight="1" x14ac:dyDescent="0.3">
      <c r="A408" s="2" t="s">
        <v>2011</v>
      </c>
      <c r="B408" s="2" t="s">
        <v>2012</v>
      </c>
      <c r="C408" s="2" t="s">
        <v>2013</v>
      </c>
      <c r="D408" s="2" t="s">
        <v>2014</v>
      </c>
      <c r="E408" s="2">
        <v>1</v>
      </c>
      <c r="F408" s="2">
        <v>0</v>
      </c>
      <c r="G408" s="2">
        <v>1</v>
      </c>
      <c r="H408" s="2" t="s">
        <v>49</v>
      </c>
      <c r="I408" s="2" t="s">
        <v>2015</v>
      </c>
      <c r="J408" s="2" t="s">
        <v>2016</v>
      </c>
      <c r="K408" s="2" t="s">
        <v>2017</v>
      </c>
      <c r="L408" s="4">
        <v>7.875</v>
      </c>
      <c r="M408" s="5">
        <v>1</v>
      </c>
      <c r="N408" s="6">
        <f t="shared" ref="N408:N413" si="38">L408*M408</f>
        <v>7.875</v>
      </c>
      <c r="O408" s="2" t="s">
        <v>51</v>
      </c>
      <c r="P408" s="7">
        <v>-6.3492099999999996E-2</v>
      </c>
      <c r="S408" s="6">
        <f t="shared" si="37"/>
        <v>7.875</v>
      </c>
    </row>
    <row r="409" spans="1:19" ht="15" customHeight="1" x14ac:dyDescent="0.3">
      <c r="A409" s="2" t="s">
        <v>2018</v>
      </c>
      <c r="B409" s="2" t="s">
        <v>2019</v>
      </c>
      <c r="C409" s="2" t="s">
        <v>2020</v>
      </c>
      <c r="D409" s="2" t="s">
        <v>2014</v>
      </c>
      <c r="E409" s="2">
        <v>1</v>
      </c>
      <c r="F409" s="2">
        <v>0</v>
      </c>
      <c r="G409" s="2">
        <v>0</v>
      </c>
      <c r="H409" s="2" t="s">
        <v>49</v>
      </c>
      <c r="I409" s="2" t="s">
        <v>2019</v>
      </c>
      <c r="J409" s="2" t="s">
        <v>2021</v>
      </c>
      <c r="K409" s="2" t="s">
        <v>2022</v>
      </c>
      <c r="L409" s="4">
        <v>12</v>
      </c>
      <c r="M409" s="5">
        <v>12</v>
      </c>
      <c r="N409" s="6">
        <f t="shared" si="38"/>
        <v>144</v>
      </c>
      <c r="O409" s="2" t="s">
        <v>51</v>
      </c>
      <c r="P409" s="7">
        <v>5.2083299999999997E-3</v>
      </c>
      <c r="S409" s="6">
        <f t="shared" si="37"/>
        <v>144</v>
      </c>
    </row>
    <row r="410" spans="1:19" ht="15" customHeight="1" x14ac:dyDescent="0.3">
      <c r="A410" s="2" t="s">
        <v>2023</v>
      </c>
      <c r="B410" s="2" t="s">
        <v>2024</v>
      </c>
      <c r="C410" s="2" t="s">
        <v>2025</v>
      </c>
      <c r="D410" s="2" t="s">
        <v>2022</v>
      </c>
      <c r="E410" s="2">
        <v>1</v>
      </c>
      <c r="F410" s="2">
        <v>1</v>
      </c>
      <c r="G410" s="2">
        <v>0</v>
      </c>
      <c r="H410" s="2" t="s">
        <v>49</v>
      </c>
      <c r="I410" s="2" t="s">
        <v>2026</v>
      </c>
      <c r="J410" s="2" t="s">
        <v>2027</v>
      </c>
      <c r="K410" s="2" t="s">
        <v>2022</v>
      </c>
      <c r="L410" s="4">
        <v>12</v>
      </c>
      <c r="M410" s="5">
        <v>3.6</v>
      </c>
      <c r="N410" s="6">
        <f t="shared" si="38"/>
        <v>43.2</v>
      </c>
      <c r="O410" s="2" t="s">
        <v>51</v>
      </c>
      <c r="P410" s="7">
        <v>2.0833299999999999E-2</v>
      </c>
      <c r="S410" s="6">
        <f t="shared" si="37"/>
        <v>43.2</v>
      </c>
    </row>
    <row r="411" spans="1:19" ht="15" customHeight="1" x14ac:dyDescent="0.3">
      <c r="A411" s="2" t="s">
        <v>2028</v>
      </c>
      <c r="B411" s="2" t="s">
        <v>2029</v>
      </c>
      <c r="C411" s="2" t="s">
        <v>2030</v>
      </c>
      <c r="D411" s="2" t="s">
        <v>2022</v>
      </c>
      <c r="E411" s="2">
        <v>1</v>
      </c>
      <c r="F411" s="2">
        <v>0</v>
      </c>
      <c r="G411" s="2">
        <v>0</v>
      </c>
      <c r="H411" s="2" t="s">
        <v>49</v>
      </c>
      <c r="I411" s="2" t="s">
        <v>2029</v>
      </c>
      <c r="J411" s="2" t="s">
        <v>2031</v>
      </c>
      <c r="K411" s="2" t="s">
        <v>2022</v>
      </c>
      <c r="L411" s="4">
        <v>12</v>
      </c>
      <c r="M411" s="5">
        <v>3.5</v>
      </c>
      <c r="N411" s="6">
        <f t="shared" si="38"/>
        <v>42</v>
      </c>
      <c r="O411" s="2" t="s">
        <v>51</v>
      </c>
      <c r="P411" s="7">
        <v>8.8541700000000001E-2</v>
      </c>
      <c r="S411" s="6">
        <f t="shared" si="37"/>
        <v>42</v>
      </c>
    </row>
    <row r="412" spans="1:19" ht="15" customHeight="1" x14ac:dyDescent="0.3">
      <c r="A412" s="2" t="s">
        <v>2032</v>
      </c>
      <c r="B412" s="2" t="s">
        <v>2033</v>
      </c>
      <c r="C412" s="2" t="s">
        <v>2034</v>
      </c>
      <c r="D412" s="2" t="s">
        <v>2035</v>
      </c>
      <c r="E412" s="2">
        <v>1</v>
      </c>
      <c r="F412" s="2">
        <v>1</v>
      </c>
      <c r="G412" s="2">
        <v>0</v>
      </c>
      <c r="H412" s="2" t="s">
        <v>49</v>
      </c>
      <c r="I412" s="2" t="s">
        <v>2033</v>
      </c>
      <c r="J412" s="2" t="s">
        <v>2036</v>
      </c>
      <c r="K412" s="2" t="s">
        <v>2037</v>
      </c>
      <c r="L412" s="4">
        <v>15</v>
      </c>
      <c r="M412" s="5">
        <v>6</v>
      </c>
      <c r="N412" s="6">
        <f t="shared" si="38"/>
        <v>90</v>
      </c>
      <c r="O412" s="2" t="s">
        <v>51</v>
      </c>
      <c r="P412" s="7">
        <v>2.08333E-3</v>
      </c>
      <c r="S412" s="6">
        <f t="shared" si="37"/>
        <v>90</v>
      </c>
    </row>
    <row r="413" spans="1:19" ht="15" customHeight="1" x14ac:dyDescent="0.3">
      <c r="A413" s="2" t="s">
        <v>2038</v>
      </c>
      <c r="B413" s="2" t="s">
        <v>2039</v>
      </c>
      <c r="C413" s="2" t="s">
        <v>2040</v>
      </c>
      <c r="D413" s="2" t="s">
        <v>2035</v>
      </c>
      <c r="E413" s="2">
        <v>1</v>
      </c>
      <c r="F413" s="2">
        <v>2</v>
      </c>
      <c r="G413" s="2">
        <v>0</v>
      </c>
      <c r="H413" s="2" t="s">
        <v>49</v>
      </c>
      <c r="I413" s="2" t="s">
        <v>2041</v>
      </c>
      <c r="J413" s="2" t="s">
        <v>2042</v>
      </c>
      <c r="K413" s="2" t="s">
        <v>2037</v>
      </c>
      <c r="L413" s="4">
        <v>20</v>
      </c>
      <c r="M413" s="5">
        <v>27.5</v>
      </c>
      <c r="N413" s="6">
        <f t="shared" si="38"/>
        <v>550</v>
      </c>
      <c r="O413" s="2" t="s">
        <v>51</v>
      </c>
      <c r="P413" s="7">
        <v>0.1</v>
      </c>
      <c r="S413" s="6">
        <f t="shared" si="37"/>
        <v>550</v>
      </c>
    </row>
    <row r="414" spans="1:19" ht="15" customHeight="1" x14ac:dyDescent="0.3">
      <c r="A414" s="2" t="s">
        <v>2043</v>
      </c>
      <c r="B414" s="2" t="s">
        <v>2044</v>
      </c>
      <c r="C414" s="2" t="s">
        <v>2045</v>
      </c>
      <c r="D414" s="2" t="s">
        <v>2035</v>
      </c>
      <c r="E414" s="2">
        <v>2</v>
      </c>
      <c r="F414" s="2">
        <v>0</v>
      </c>
      <c r="G414" s="2">
        <v>0</v>
      </c>
      <c r="H414" s="2" t="s">
        <v>115</v>
      </c>
      <c r="I414" s="2" t="s">
        <v>2046</v>
      </c>
      <c r="J414" s="2" t="s">
        <v>2047</v>
      </c>
      <c r="S414" s="6" t="str">
        <f t="shared" si="37"/>
        <v/>
      </c>
    </row>
    <row r="415" spans="1:19" ht="15" customHeight="1" x14ac:dyDescent="0.3">
      <c r="A415" s="2" t="s">
        <v>2048</v>
      </c>
      <c r="B415" s="2" t="s">
        <v>2049</v>
      </c>
      <c r="C415" s="2" t="s">
        <v>2050</v>
      </c>
      <c r="D415" s="2" t="s">
        <v>2051</v>
      </c>
      <c r="E415" s="2">
        <v>1</v>
      </c>
      <c r="F415" s="2">
        <v>1</v>
      </c>
      <c r="G415" s="2">
        <v>0</v>
      </c>
      <c r="H415" s="2" t="s">
        <v>49</v>
      </c>
      <c r="I415" s="2" t="s">
        <v>2052</v>
      </c>
      <c r="J415" s="2" t="s">
        <v>2053</v>
      </c>
      <c r="K415" s="2" t="s">
        <v>2054</v>
      </c>
      <c r="L415" s="4">
        <v>8</v>
      </c>
      <c r="M415" s="5">
        <v>7</v>
      </c>
      <c r="N415" s="6">
        <f>L415*M415</f>
        <v>56</v>
      </c>
      <c r="O415" s="2" t="s">
        <v>51</v>
      </c>
      <c r="P415" s="7">
        <v>4.6875E-2</v>
      </c>
      <c r="S415" s="6">
        <f t="shared" si="37"/>
        <v>56</v>
      </c>
    </row>
    <row r="416" spans="1:19" ht="15" customHeight="1" x14ac:dyDescent="0.3">
      <c r="A416" s="2" t="s">
        <v>2055</v>
      </c>
      <c r="B416" s="2" t="s">
        <v>2056</v>
      </c>
      <c r="C416" s="2" t="s">
        <v>2057</v>
      </c>
      <c r="D416" s="2" t="s">
        <v>2054</v>
      </c>
      <c r="E416" s="2">
        <v>1</v>
      </c>
      <c r="F416" s="2">
        <v>1</v>
      </c>
      <c r="G416" s="2">
        <v>0</v>
      </c>
      <c r="H416" s="2" t="s">
        <v>49</v>
      </c>
      <c r="I416" s="2" t="s">
        <v>2058</v>
      </c>
      <c r="J416" s="2" t="s">
        <v>2059</v>
      </c>
      <c r="K416" s="2" t="s">
        <v>2060</v>
      </c>
      <c r="L416" s="4">
        <v>6</v>
      </c>
      <c r="M416" s="5">
        <v>8</v>
      </c>
      <c r="N416" s="6">
        <f>L416*M416</f>
        <v>48</v>
      </c>
      <c r="O416" s="2" t="s">
        <v>51</v>
      </c>
      <c r="P416" s="7">
        <v>2.6041700000000001E-2</v>
      </c>
      <c r="S416" s="6">
        <f t="shared" si="37"/>
        <v>48</v>
      </c>
    </row>
    <row r="417" spans="1:19" ht="15" customHeight="1" x14ac:dyDescent="0.3">
      <c r="A417" s="2" t="s">
        <v>2061</v>
      </c>
      <c r="B417" s="2" t="s">
        <v>2062</v>
      </c>
      <c r="C417" s="2" t="s">
        <v>2063</v>
      </c>
      <c r="D417" s="2" t="s">
        <v>2060</v>
      </c>
      <c r="E417" s="2">
        <v>1</v>
      </c>
      <c r="F417" s="2">
        <v>0</v>
      </c>
      <c r="G417" s="2">
        <v>0</v>
      </c>
      <c r="H417" s="2" t="s">
        <v>49</v>
      </c>
      <c r="I417" s="2" t="s">
        <v>2062</v>
      </c>
      <c r="J417" s="2" t="s">
        <v>2064</v>
      </c>
      <c r="K417" s="2" t="s">
        <v>2060</v>
      </c>
      <c r="L417" s="4">
        <v>10</v>
      </c>
      <c r="M417" s="5">
        <v>5</v>
      </c>
      <c r="N417" s="6">
        <f>L417*M417</f>
        <v>50</v>
      </c>
      <c r="O417" s="2" t="s">
        <v>51</v>
      </c>
      <c r="P417" s="7">
        <v>1.8749999999999999E-2</v>
      </c>
      <c r="S417" s="6">
        <f t="shared" si="37"/>
        <v>50</v>
      </c>
    </row>
    <row r="418" spans="1:19" ht="15" customHeight="1" x14ac:dyDescent="0.3">
      <c r="A418" s="2" t="s">
        <v>2065</v>
      </c>
      <c r="B418" s="2" t="s">
        <v>2066</v>
      </c>
      <c r="C418" s="2" t="s">
        <v>2067</v>
      </c>
      <c r="D418" s="2" t="s">
        <v>2060</v>
      </c>
      <c r="E418" s="2">
        <v>1</v>
      </c>
      <c r="F418" s="2">
        <v>1</v>
      </c>
      <c r="G418" s="2">
        <v>0</v>
      </c>
      <c r="H418" s="2" t="s">
        <v>49</v>
      </c>
      <c r="I418" s="2" t="s">
        <v>2068</v>
      </c>
      <c r="J418" s="2" t="s">
        <v>2069</v>
      </c>
      <c r="K418" s="2" t="s">
        <v>2060</v>
      </c>
      <c r="L418" s="4">
        <v>7.5</v>
      </c>
      <c r="M418" s="5">
        <v>6.5</v>
      </c>
      <c r="N418" s="6">
        <f>L418*M418</f>
        <v>48.75</v>
      </c>
      <c r="O418" s="2" t="s">
        <v>51</v>
      </c>
      <c r="P418" s="7">
        <v>8.7499999999999994E-2</v>
      </c>
      <c r="S418" s="6">
        <f t="shared" si="37"/>
        <v>48.75</v>
      </c>
    </row>
    <row r="419" spans="1:19" ht="15" customHeight="1" x14ac:dyDescent="0.3">
      <c r="A419" s="2" t="s">
        <v>2070</v>
      </c>
      <c r="B419" s="2" t="s">
        <v>2071</v>
      </c>
      <c r="C419" s="2" t="s">
        <v>2072</v>
      </c>
      <c r="D419" s="2" t="s">
        <v>2073</v>
      </c>
      <c r="E419" s="2">
        <v>1</v>
      </c>
      <c r="F419" s="2">
        <v>1</v>
      </c>
      <c r="G419" s="2">
        <v>0</v>
      </c>
      <c r="H419" s="2" t="s">
        <v>49</v>
      </c>
      <c r="I419" s="2" t="s">
        <v>2071</v>
      </c>
      <c r="J419" s="2" t="s">
        <v>2074</v>
      </c>
      <c r="K419" s="2" t="s">
        <v>2075</v>
      </c>
      <c r="L419" s="4">
        <v>11</v>
      </c>
      <c r="M419" s="5">
        <v>4.5</v>
      </c>
      <c r="N419" s="6">
        <f>L419*M419</f>
        <v>49.5</v>
      </c>
      <c r="O419" s="2" t="s">
        <v>51</v>
      </c>
      <c r="P419" s="7">
        <v>1.42045E-3</v>
      </c>
      <c r="S419" s="6">
        <f t="shared" si="37"/>
        <v>49.5</v>
      </c>
    </row>
    <row r="420" spans="1:19" ht="15" customHeight="1" x14ac:dyDescent="0.3">
      <c r="A420" s="2" t="s">
        <v>2076</v>
      </c>
      <c r="B420" s="2" t="s">
        <v>2077</v>
      </c>
      <c r="C420" s="2" t="s">
        <v>2078</v>
      </c>
      <c r="D420" s="2" t="s">
        <v>2073</v>
      </c>
      <c r="E420" s="2">
        <v>1</v>
      </c>
      <c r="F420" s="2">
        <v>1</v>
      </c>
      <c r="G420" s="2">
        <v>0</v>
      </c>
      <c r="H420" s="8" t="s">
        <v>67</v>
      </c>
      <c r="I420" s="2" t="s">
        <v>2079</v>
      </c>
      <c r="J420" s="2" t="s">
        <v>2080</v>
      </c>
      <c r="R420" s="9">
        <v>135</v>
      </c>
      <c r="S420" s="6">
        <f>R420</f>
        <v>135</v>
      </c>
    </row>
    <row r="421" spans="1:19" ht="15" customHeight="1" x14ac:dyDescent="0.3">
      <c r="A421" s="2" t="s">
        <v>2081</v>
      </c>
      <c r="B421" s="2" t="s">
        <v>2082</v>
      </c>
      <c r="C421" s="2" t="s">
        <v>2083</v>
      </c>
      <c r="D421" s="2" t="s">
        <v>2073</v>
      </c>
      <c r="E421" s="2">
        <v>2</v>
      </c>
      <c r="F421" s="2">
        <v>0</v>
      </c>
      <c r="G421" s="2">
        <v>0</v>
      </c>
      <c r="H421" s="2" t="s">
        <v>115</v>
      </c>
      <c r="I421" s="2" t="s">
        <v>2084</v>
      </c>
      <c r="J421" s="2" t="s">
        <v>2081</v>
      </c>
      <c r="S421" s="6" t="str">
        <f t="shared" ref="S421:S427" si="39">IF(N421&lt;&gt;"",N421,"")</f>
        <v/>
      </c>
    </row>
    <row r="422" spans="1:19" ht="15" customHeight="1" x14ac:dyDescent="0.3">
      <c r="A422" s="2" t="s">
        <v>2085</v>
      </c>
      <c r="B422" s="2" t="s">
        <v>2086</v>
      </c>
      <c r="C422" s="2" t="s">
        <v>2087</v>
      </c>
      <c r="D422" s="2" t="s">
        <v>2075</v>
      </c>
      <c r="E422" s="2">
        <v>2</v>
      </c>
      <c r="F422" s="2">
        <v>0</v>
      </c>
      <c r="G422" s="2">
        <v>0</v>
      </c>
      <c r="H422" s="2" t="s">
        <v>373</v>
      </c>
      <c r="S422" s="6" t="str">
        <f t="shared" si="39"/>
        <v/>
      </c>
    </row>
    <row r="423" spans="1:19" ht="15" customHeight="1" x14ac:dyDescent="0.3">
      <c r="A423" s="2" t="s">
        <v>2088</v>
      </c>
      <c r="B423" s="2" t="s">
        <v>2089</v>
      </c>
      <c r="C423" s="2" t="s">
        <v>2090</v>
      </c>
      <c r="D423" s="2" t="s">
        <v>2091</v>
      </c>
      <c r="E423" s="2">
        <v>1</v>
      </c>
      <c r="F423" s="2">
        <v>1</v>
      </c>
      <c r="G423" s="2">
        <v>0</v>
      </c>
      <c r="H423" s="2" t="s">
        <v>49</v>
      </c>
      <c r="I423" s="2" t="s">
        <v>2089</v>
      </c>
      <c r="J423" s="2" t="s">
        <v>2092</v>
      </c>
      <c r="K423" s="2" t="s">
        <v>2093</v>
      </c>
      <c r="L423" s="4">
        <v>7</v>
      </c>
      <c r="M423" s="5">
        <v>5</v>
      </c>
      <c r="N423" s="6">
        <f>L423*M423</f>
        <v>35</v>
      </c>
      <c r="O423" s="2" t="s">
        <v>51</v>
      </c>
      <c r="P423" s="7">
        <v>3.5714299999999997E-2</v>
      </c>
      <c r="S423" s="6">
        <f t="shared" si="39"/>
        <v>35</v>
      </c>
    </row>
    <row r="424" spans="1:19" ht="15" customHeight="1" x14ac:dyDescent="0.3">
      <c r="A424" s="2" t="s">
        <v>2094</v>
      </c>
      <c r="B424" s="2" t="s">
        <v>2095</v>
      </c>
      <c r="C424" s="2" t="s">
        <v>2096</v>
      </c>
      <c r="D424" s="2" t="s">
        <v>2097</v>
      </c>
      <c r="E424" s="2">
        <v>2</v>
      </c>
      <c r="F424" s="2">
        <v>0</v>
      </c>
      <c r="G424" s="2">
        <v>0</v>
      </c>
      <c r="H424" s="2" t="s">
        <v>115</v>
      </c>
      <c r="I424" s="2" t="s">
        <v>2098</v>
      </c>
      <c r="J424" s="2" t="s">
        <v>2099</v>
      </c>
      <c r="S424" s="6" t="str">
        <f t="shared" si="39"/>
        <v/>
      </c>
    </row>
    <row r="425" spans="1:19" ht="15" customHeight="1" x14ac:dyDescent="0.3">
      <c r="A425" s="2" t="s">
        <v>2100</v>
      </c>
      <c r="B425" s="2" t="s">
        <v>2101</v>
      </c>
      <c r="C425" s="2" t="s">
        <v>2102</v>
      </c>
      <c r="D425" s="2" t="s">
        <v>2103</v>
      </c>
      <c r="E425" s="2">
        <v>1</v>
      </c>
      <c r="F425" s="2">
        <v>1</v>
      </c>
      <c r="G425" s="2">
        <v>0</v>
      </c>
      <c r="H425" s="2" t="s">
        <v>49</v>
      </c>
      <c r="I425" s="2" t="s">
        <v>2101</v>
      </c>
      <c r="J425" s="2" t="s">
        <v>2104</v>
      </c>
      <c r="K425" s="2" t="s">
        <v>2103</v>
      </c>
      <c r="L425" s="4">
        <v>8</v>
      </c>
      <c r="M425" s="5">
        <v>6.4224500000000004</v>
      </c>
      <c r="N425" s="6">
        <f>L425*M425</f>
        <v>51.379600000000003</v>
      </c>
      <c r="O425" s="2" t="s">
        <v>51</v>
      </c>
      <c r="P425" s="7">
        <v>6.4453099999999999E-2</v>
      </c>
      <c r="S425" s="6">
        <f t="shared" si="39"/>
        <v>51.379600000000003</v>
      </c>
    </row>
    <row r="426" spans="1:19" ht="15" customHeight="1" x14ac:dyDescent="0.3">
      <c r="A426" s="2" t="s">
        <v>2105</v>
      </c>
      <c r="B426" s="2" t="s">
        <v>2106</v>
      </c>
      <c r="C426" s="2" t="s">
        <v>2107</v>
      </c>
      <c r="D426" s="2" t="s">
        <v>2103</v>
      </c>
      <c r="E426" s="2">
        <v>1</v>
      </c>
      <c r="F426" s="2">
        <v>0</v>
      </c>
      <c r="G426" s="2">
        <v>0</v>
      </c>
      <c r="H426" s="2" t="s">
        <v>49</v>
      </c>
      <c r="I426" s="2" t="s">
        <v>2108</v>
      </c>
      <c r="J426" s="2" t="s">
        <v>2109</v>
      </c>
      <c r="K426" s="2" t="s">
        <v>2110</v>
      </c>
      <c r="L426" s="4">
        <v>16</v>
      </c>
      <c r="M426" s="5">
        <v>5</v>
      </c>
      <c r="N426" s="6">
        <f>L426*M426</f>
        <v>80</v>
      </c>
      <c r="O426" s="2" t="s">
        <v>51</v>
      </c>
      <c r="P426" s="7">
        <v>0.37109399999999998</v>
      </c>
      <c r="S426" s="6">
        <f t="shared" si="39"/>
        <v>80</v>
      </c>
    </row>
    <row r="427" spans="1:19" ht="15" customHeight="1" x14ac:dyDescent="0.3">
      <c r="A427" s="2" t="s">
        <v>2111</v>
      </c>
      <c r="B427" s="2" t="s">
        <v>2112</v>
      </c>
      <c r="C427" s="2" t="s">
        <v>2113</v>
      </c>
      <c r="D427" s="2" t="s">
        <v>2103</v>
      </c>
      <c r="E427" s="2">
        <v>1</v>
      </c>
      <c r="F427" s="2">
        <v>0</v>
      </c>
      <c r="G427" s="2">
        <v>0</v>
      </c>
      <c r="H427" s="2" t="s">
        <v>49</v>
      </c>
      <c r="I427" s="2" t="s">
        <v>2114</v>
      </c>
      <c r="J427" s="2" t="s">
        <v>2115</v>
      </c>
      <c r="K427" s="2" t="s">
        <v>2110</v>
      </c>
      <c r="L427" s="4">
        <v>20</v>
      </c>
      <c r="M427" s="5">
        <v>11.2</v>
      </c>
      <c r="N427" s="6">
        <f>L427*M427</f>
        <v>224</v>
      </c>
      <c r="O427" s="2" t="s">
        <v>51</v>
      </c>
      <c r="S427" s="6">
        <f t="shared" si="39"/>
        <v>224</v>
      </c>
    </row>
    <row r="428" spans="1:19" ht="15" customHeight="1" x14ac:dyDescent="0.3">
      <c r="A428" s="2" t="s">
        <v>2116</v>
      </c>
      <c r="B428" s="2" t="s">
        <v>2117</v>
      </c>
      <c r="C428" s="2" t="s">
        <v>2118</v>
      </c>
      <c r="D428" s="2" t="s">
        <v>2110</v>
      </c>
      <c r="E428" s="2">
        <v>1</v>
      </c>
      <c r="F428" s="2">
        <v>0</v>
      </c>
      <c r="G428" s="2">
        <v>0</v>
      </c>
      <c r="H428" s="8" t="s">
        <v>67</v>
      </c>
      <c r="I428" s="2" t="s">
        <v>2119</v>
      </c>
      <c r="J428" s="2" t="s">
        <v>2116</v>
      </c>
      <c r="K428" s="2" t="s">
        <v>2110</v>
      </c>
      <c r="R428" s="9">
        <v>135</v>
      </c>
      <c r="S428" s="6">
        <f>R428</f>
        <v>135</v>
      </c>
    </row>
    <row r="429" spans="1:19" ht="15" customHeight="1" x14ac:dyDescent="0.3">
      <c r="A429" s="2" t="s">
        <v>2120</v>
      </c>
      <c r="B429" s="2" t="s">
        <v>2121</v>
      </c>
      <c r="C429" s="2" t="s">
        <v>2122</v>
      </c>
      <c r="D429" s="2" t="s">
        <v>2110</v>
      </c>
      <c r="E429" s="2">
        <v>1</v>
      </c>
      <c r="F429" s="2">
        <v>0</v>
      </c>
      <c r="G429" s="2">
        <v>0</v>
      </c>
      <c r="H429" s="2" t="s">
        <v>49</v>
      </c>
      <c r="I429" s="2" t="s">
        <v>2121</v>
      </c>
      <c r="J429" s="2" t="s">
        <v>2123</v>
      </c>
      <c r="K429" s="2" t="s">
        <v>2110</v>
      </c>
      <c r="L429" s="4">
        <v>13.5</v>
      </c>
      <c r="M429" s="5">
        <v>10</v>
      </c>
      <c r="N429" s="6">
        <f>L429*M429</f>
        <v>135</v>
      </c>
      <c r="O429" s="2" t="s">
        <v>51</v>
      </c>
      <c r="P429" s="7">
        <v>2.7777799999999998E-2</v>
      </c>
      <c r="S429" s="6">
        <f>IF(N429&lt;&gt;"",N429,"")</f>
        <v>135</v>
      </c>
    </row>
    <row r="430" spans="1:19" ht="15" customHeight="1" x14ac:dyDescent="0.3">
      <c r="A430" s="2" t="s">
        <v>2124</v>
      </c>
      <c r="B430" s="2" t="s">
        <v>2125</v>
      </c>
      <c r="C430" s="2" t="s">
        <v>2126</v>
      </c>
      <c r="D430" s="2" t="s">
        <v>2110</v>
      </c>
      <c r="E430" s="2">
        <v>2</v>
      </c>
      <c r="F430" s="2">
        <v>0</v>
      </c>
      <c r="G430" s="2">
        <v>0</v>
      </c>
      <c r="H430" s="2" t="s">
        <v>115</v>
      </c>
      <c r="I430" s="2" t="s">
        <v>2127</v>
      </c>
      <c r="J430" s="2" t="s">
        <v>2128</v>
      </c>
      <c r="S430" s="6" t="str">
        <f>IF(N430&lt;&gt;"",N430,"")</f>
        <v/>
      </c>
    </row>
    <row r="431" spans="1:19" ht="15" customHeight="1" x14ac:dyDescent="0.3">
      <c r="A431" s="2" t="s">
        <v>2129</v>
      </c>
      <c r="B431" s="2" t="s">
        <v>2130</v>
      </c>
      <c r="C431" s="2" t="s">
        <v>2131</v>
      </c>
      <c r="D431" s="2" t="s">
        <v>2132</v>
      </c>
      <c r="E431" s="2">
        <v>1</v>
      </c>
      <c r="F431" s="2">
        <v>1</v>
      </c>
      <c r="G431" s="2">
        <v>0</v>
      </c>
      <c r="H431" s="2" t="s">
        <v>49</v>
      </c>
      <c r="I431" s="2" t="s">
        <v>2130</v>
      </c>
      <c r="J431" s="2" t="s">
        <v>2133</v>
      </c>
      <c r="K431" s="2" t="s">
        <v>2134</v>
      </c>
      <c r="L431" s="4">
        <v>9.5</v>
      </c>
      <c r="M431" s="5">
        <v>4</v>
      </c>
      <c r="N431" s="6">
        <f>L431*M431</f>
        <v>38</v>
      </c>
      <c r="O431" s="2" t="s">
        <v>51</v>
      </c>
      <c r="P431" s="7">
        <v>0.111842</v>
      </c>
      <c r="S431" s="6">
        <f>IF(N431&lt;&gt;"",N431,"")</f>
        <v>38</v>
      </c>
    </row>
    <row r="432" spans="1:19" ht="15" customHeight="1" x14ac:dyDescent="0.3">
      <c r="A432" s="2" t="s">
        <v>2135</v>
      </c>
      <c r="B432" s="2" t="s">
        <v>2136</v>
      </c>
      <c r="C432" s="2" t="s">
        <v>2137</v>
      </c>
      <c r="D432" s="2" t="s">
        <v>2138</v>
      </c>
      <c r="E432" s="2">
        <v>1</v>
      </c>
      <c r="F432" s="2">
        <v>1</v>
      </c>
      <c r="G432" s="2">
        <v>0</v>
      </c>
      <c r="H432" s="2" t="s">
        <v>49</v>
      </c>
      <c r="I432" s="2" t="s">
        <v>2139</v>
      </c>
      <c r="J432" s="2" t="s">
        <v>2140</v>
      </c>
      <c r="K432" s="2" t="s">
        <v>2141</v>
      </c>
      <c r="L432" s="4">
        <v>12</v>
      </c>
      <c r="M432" s="5">
        <v>6.5</v>
      </c>
      <c r="N432" s="6">
        <f>L432*M432</f>
        <v>78</v>
      </c>
      <c r="O432" s="2" t="s">
        <v>51</v>
      </c>
      <c r="P432" s="7">
        <v>0.13541700000000001</v>
      </c>
      <c r="S432" s="6">
        <f>IF(N432&lt;&gt;"",N432,"")</f>
        <v>78</v>
      </c>
    </row>
    <row r="434" spans="1:2" ht="15" customHeight="1" x14ac:dyDescent="0.3">
      <c r="A434" s="1" t="s">
        <v>2142</v>
      </c>
      <c r="B434" s="2">
        <f>COUNT(N2:N432)</f>
        <v>319</v>
      </c>
    </row>
    <row r="435" spans="1:2" ht="15" customHeight="1" x14ac:dyDescent="0.3">
      <c r="A435" s="1" t="s">
        <v>2143</v>
      </c>
      <c r="B435" s="10">
        <f>SUM(N2:N432)</f>
        <v>71117.238159999979</v>
      </c>
    </row>
    <row r="436" spans="1:2" ht="15" customHeight="1" x14ac:dyDescent="0.3">
      <c r="A436" s="1" t="s">
        <v>2144</v>
      </c>
      <c r="B436" s="10">
        <f>SUMIFS(N2:N432,E2:E432,1)</f>
        <v>54677.238159999986</v>
      </c>
    </row>
    <row r="437" spans="1:2" ht="15" customHeight="1" x14ac:dyDescent="0.3">
      <c r="A437" s="1" t="s">
        <v>2145</v>
      </c>
      <c r="B437" s="10">
        <v>64800</v>
      </c>
    </row>
    <row r="438" spans="1:2" x14ac:dyDescent="0.3">
      <c r="A438" s="1" t="s">
        <v>2146</v>
      </c>
      <c r="B438" s="6">
        <f>SUMIFS(S2:S432,E2:E432,1)</f>
        <v>64802.238159999986</v>
      </c>
    </row>
    <row r="439" spans="1:2" x14ac:dyDescent="0.3">
      <c r="A439" s="1" t="s">
        <v>2147</v>
      </c>
      <c r="B439" s="6">
        <f>SUM(S2:S432)</f>
        <v>81242.238159999979</v>
      </c>
    </row>
    <row r="440" spans="1:2" x14ac:dyDescent="0.3">
      <c r="A440" s="1" t="s">
        <v>2148</v>
      </c>
      <c r="B440" s="6">
        <v>135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2" width="9" customWidth="1"/>
    <col min="3" max="3" width="12" customWidth="1"/>
    <col min="4" max="4" width="6" customWidth="1"/>
    <col min="5" max="5" width="26" customWidth="1"/>
    <col min="6" max="6" width="38" customWidth="1"/>
  </cols>
  <sheetData>
    <row r="1" spans="1:6" ht="23.25" customHeight="1" x14ac:dyDescent="0.3">
      <c r="A1" s="3" t="s">
        <v>26</v>
      </c>
      <c r="B1" s="3" t="s">
        <v>2149</v>
      </c>
      <c r="C1" s="3" t="s">
        <v>2150</v>
      </c>
      <c r="D1" s="3" t="s">
        <v>30</v>
      </c>
      <c r="E1" s="3" t="s">
        <v>2151</v>
      </c>
      <c r="F1" s="3" t="s">
        <v>2152</v>
      </c>
    </row>
    <row r="2" spans="1:6" ht="15" customHeight="1" x14ac:dyDescent="0.3">
      <c r="A2" s="2" t="s">
        <v>63</v>
      </c>
      <c r="B2" s="2" t="s">
        <v>64</v>
      </c>
      <c r="C2" s="2" t="s">
        <v>66</v>
      </c>
      <c r="D2" s="2">
        <v>1</v>
      </c>
      <c r="E2" s="2" t="s">
        <v>115</v>
      </c>
      <c r="F2" s="2" t="s">
        <v>2153</v>
      </c>
    </row>
    <row r="3" spans="1:6" ht="15" customHeight="1" x14ac:dyDescent="0.3">
      <c r="A3" s="2" t="s">
        <v>90</v>
      </c>
      <c r="B3" s="2" t="s">
        <v>91</v>
      </c>
      <c r="C3" s="2" t="s">
        <v>82</v>
      </c>
      <c r="D3" s="2">
        <v>1</v>
      </c>
      <c r="E3" s="2" t="s">
        <v>115</v>
      </c>
      <c r="F3" s="2" t="s">
        <v>2153</v>
      </c>
    </row>
    <row r="4" spans="1:6" ht="15" customHeight="1" x14ac:dyDescent="0.3">
      <c r="A4" s="2" t="s">
        <v>102</v>
      </c>
      <c r="B4" s="2" t="s">
        <v>103</v>
      </c>
      <c r="C4" s="2" t="s">
        <v>89</v>
      </c>
      <c r="D4" s="2">
        <v>1</v>
      </c>
      <c r="E4" s="2" t="s">
        <v>115</v>
      </c>
      <c r="F4" s="2" t="s">
        <v>2153</v>
      </c>
    </row>
    <row r="5" spans="1:6" ht="15" customHeight="1" x14ac:dyDescent="0.3">
      <c r="A5" s="2" t="s">
        <v>135</v>
      </c>
      <c r="B5" s="2" t="s">
        <v>136</v>
      </c>
      <c r="C5" s="2" t="s">
        <v>121</v>
      </c>
      <c r="D5" s="2">
        <v>1</v>
      </c>
      <c r="E5" s="2" t="s">
        <v>373</v>
      </c>
      <c r="F5" s="2" t="s">
        <v>2153</v>
      </c>
    </row>
    <row r="6" spans="1:6" ht="15" customHeight="1" x14ac:dyDescent="0.3">
      <c r="A6" s="2" t="s">
        <v>225</v>
      </c>
      <c r="B6" s="2" t="s">
        <v>226</v>
      </c>
      <c r="C6" s="2" t="s">
        <v>223</v>
      </c>
      <c r="D6" s="2">
        <v>1</v>
      </c>
      <c r="E6" s="2" t="s">
        <v>373</v>
      </c>
      <c r="F6" s="2" t="s">
        <v>2153</v>
      </c>
    </row>
    <row r="7" spans="1:6" ht="15" customHeight="1" x14ac:dyDescent="0.3">
      <c r="A7" s="2" t="s">
        <v>247</v>
      </c>
      <c r="B7" s="2" t="s">
        <v>248</v>
      </c>
      <c r="C7" s="2" t="s">
        <v>244</v>
      </c>
      <c r="D7" s="2">
        <v>1</v>
      </c>
      <c r="E7" s="2" t="s">
        <v>115</v>
      </c>
      <c r="F7" s="2" t="s">
        <v>2153</v>
      </c>
    </row>
    <row r="8" spans="1:6" ht="15" customHeight="1" x14ac:dyDescent="0.3">
      <c r="A8" s="2" t="s">
        <v>275</v>
      </c>
      <c r="B8" s="2" t="s">
        <v>276</v>
      </c>
      <c r="C8" s="2" t="s">
        <v>265</v>
      </c>
      <c r="D8" s="2">
        <v>1</v>
      </c>
      <c r="E8" s="2" t="s">
        <v>115</v>
      </c>
      <c r="F8" s="2" t="s">
        <v>2153</v>
      </c>
    </row>
    <row r="9" spans="1:6" ht="15" customHeight="1" x14ac:dyDescent="0.3">
      <c r="A9" s="2" t="s">
        <v>349</v>
      </c>
      <c r="B9" s="2" t="s">
        <v>350</v>
      </c>
      <c r="C9" s="2" t="s">
        <v>347</v>
      </c>
      <c r="D9" s="2">
        <v>1</v>
      </c>
      <c r="E9" s="2" t="s">
        <v>115</v>
      </c>
      <c r="F9" s="2" t="s">
        <v>2153</v>
      </c>
    </row>
    <row r="10" spans="1:6" ht="15" customHeight="1" x14ac:dyDescent="0.3">
      <c r="A10" s="2" t="s">
        <v>360</v>
      </c>
      <c r="B10" s="2" t="s">
        <v>361</v>
      </c>
      <c r="C10" s="2" t="s">
        <v>354</v>
      </c>
      <c r="D10" s="2">
        <v>1</v>
      </c>
      <c r="E10" s="2" t="s">
        <v>373</v>
      </c>
      <c r="F10" s="2" t="s">
        <v>2153</v>
      </c>
    </row>
    <row r="11" spans="1:6" ht="15" customHeight="1" x14ac:dyDescent="0.3">
      <c r="A11" s="2" t="s">
        <v>389</v>
      </c>
      <c r="B11" s="2" t="s">
        <v>390</v>
      </c>
      <c r="C11" s="2" t="s">
        <v>392</v>
      </c>
      <c r="D11" s="2">
        <v>1</v>
      </c>
      <c r="E11" s="2" t="s">
        <v>373</v>
      </c>
      <c r="F11" s="2" t="s">
        <v>2153</v>
      </c>
    </row>
    <row r="12" spans="1:6" ht="15" customHeight="1" x14ac:dyDescent="0.3">
      <c r="A12" s="2" t="s">
        <v>431</v>
      </c>
      <c r="B12" s="2" t="s">
        <v>432</v>
      </c>
      <c r="C12" s="2" t="s">
        <v>419</v>
      </c>
      <c r="D12" s="2">
        <v>1</v>
      </c>
      <c r="E12" s="2" t="s">
        <v>373</v>
      </c>
      <c r="F12" s="2" t="s">
        <v>2153</v>
      </c>
    </row>
    <row r="13" spans="1:6" ht="15" customHeight="1" x14ac:dyDescent="0.3">
      <c r="A13" s="2" t="s">
        <v>426</v>
      </c>
      <c r="B13" s="2" t="s">
        <v>427</v>
      </c>
      <c r="C13" s="2" t="s">
        <v>419</v>
      </c>
      <c r="D13" s="2">
        <v>1</v>
      </c>
      <c r="E13" s="2" t="s">
        <v>115</v>
      </c>
      <c r="F13" s="2" t="s">
        <v>2153</v>
      </c>
    </row>
    <row r="14" spans="1:6" ht="15" customHeight="1" x14ac:dyDescent="0.3">
      <c r="A14" s="2" t="s">
        <v>451</v>
      </c>
      <c r="B14" s="2" t="s">
        <v>452</v>
      </c>
      <c r="C14" s="2" t="s">
        <v>447</v>
      </c>
      <c r="D14" s="2">
        <v>1</v>
      </c>
      <c r="E14" s="2" t="s">
        <v>2010</v>
      </c>
      <c r="F14" s="2" t="s">
        <v>2153</v>
      </c>
    </row>
    <row r="15" spans="1:6" ht="15" customHeight="1" x14ac:dyDescent="0.3">
      <c r="A15" s="2" t="s">
        <v>470</v>
      </c>
      <c r="B15" s="2" t="s">
        <v>471</v>
      </c>
      <c r="C15" s="2" t="s">
        <v>450</v>
      </c>
      <c r="D15" s="2">
        <v>1</v>
      </c>
      <c r="E15" s="2" t="s">
        <v>115</v>
      </c>
      <c r="F15" s="2" t="s">
        <v>2153</v>
      </c>
    </row>
    <row r="16" spans="1:6" ht="15" customHeight="1" x14ac:dyDescent="0.3">
      <c r="A16" s="2" t="s">
        <v>490</v>
      </c>
      <c r="B16" s="2" t="s">
        <v>491</v>
      </c>
      <c r="C16" s="2" t="s">
        <v>478</v>
      </c>
      <c r="D16" s="2">
        <v>1</v>
      </c>
      <c r="E16" s="2" t="s">
        <v>2010</v>
      </c>
      <c r="F16" s="2" t="s">
        <v>2153</v>
      </c>
    </row>
    <row r="17" spans="1:6" ht="15" customHeight="1" x14ac:dyDescent="0.3">
      <c r="A17" s="2" t="s">
        <v>523</v>
      </c>
      <c r="B17" s="2" t="s">
        <v>524</v>
      </c>
      <c r="C17" s="2" t="s">
        <v>509</v>
      </c>
      <c r="D17" s="2">
        <v>1</v>
      </c>
      <c r="E17" s="2" t="s">
        <v>373</v>
      </c>
      <c r="F17" s="2" t="s">
        <v>2153</v>
      </c>
    </row>
    <row r="18" spans="1:6" ht="15" customHeight="1" x14ac:dyDescent="0.3">
      <c r="A18" s="2" t="s">
        <v>542</v>
      </c>
      <c r="B18" s="2" t="s">
        <v>543</v>
      </c>
      <c r="C18" s="2" t="s">
        <v>535</v>
      </c>
      <c r="D18" s="2">
        <v>1</v>
      </c>
      <c r="E18" s="2" t="s">
        <v>373</v>
      </c>
      <c r="F18" s="2" t="s">
        <v>2153</v>
      </c>
    </row>
    <row r="19" spans="1:6" ht="15" customHeight="1" x14ac:dyDescent="0.3">
      <c r="A19" s="2" t="s">
        <v>561</v>
      </c>
      <c r="B19" s="2" t="s">
        <v>562</v>
      </c>
      <c r="C19" s="2" t="s">
        <v>564</v>
      </c>
      <c r="D19" s="2">
        <v>1</v>
      </c>
      <c r="E19" s="2" t="s">
        <v>115</v>
      </c>
      <c r="F19" s="2" t="s">
        <v>2153</v>
      </c>
    </row>
    <row r="20" spans="1:6" ht="15" customHeight="1" x14ac:dyDescent="0.3">
      <c r="A20" s="2" t="s">
        <v>571</v>
      </c>
      <c r="B20" s="2" t="s">
        <v>572</v>
      </c>
      <c r="C20" s="2" t="s">
        <v>574</v>
      </c>
      <c r="D20" s="2">
        <v>1</v>
      </c>
      <c r="E20" s="2" t="s">
        <v>373</v>
      </c>
      <c r="F20" s="2" t="s">
        <v>2153</v>
      </c>
    </row>
    <row r="21" spans="1:6" ht="15" customHeight="1" x14ac:dyDescent="0.3">
      <c r="A21" s="2" t="s">
        <v>580</v>
      </c>
      <c r="B21" s="2" t="s">
        <v>581</v>
      </c>
      <c r="C21" s="2" t="s">
        <v>578</v>
      </c>
      <c r="D21" s="2">
        <v>1</v>
      </c>
      <c r="E21" s="2" t="s">
        <v>373</v>
      </c>
      <c r="F21" s="2" t="s">
        <v>2153</v>
      </c>
    </row>
    <row r="22" spans="1:6" ht="15" customHeight="1" x14ac:dyDescent="0.3">
      <c r="A22" s="2" t="s">
        <v>590</v>
      </c>
      <c r="B22" s="2" t="s">
        <v>591</v>
      </c>
      <c r="C22" s="2" t="s">
        <v>586</v>
      </c>
      <c r="D22" s="2">
        <v>1</v>
      </c>
      <c r="E22" s="2" t="s">
        <v>373</v>
      </c>
      <c r="F22" s="2" t="s">
        <v>2153</v>
      </c>
    </row>
    <row r="23" spans="1:6" ht="15" customHeight="1" x14ac:dyDescent="0.3">
      <c r="A23" s="2" t="s">
        <v>608</v>
      </c>
      <c r="B23" s="2" t="s">
        <v>609</v>
      </c>
      <c r="C23" s="2" t="s">
        <v>589</v>
      </c>
      <c r="D23" s="2">
        <v>1</v>
      </c>
      <c r="E23" s="2" t="s">
        <v>2010</v>
      </c>
      <c r="F23" s="2" t="s">
        <v>2153</v>
      </c>
    </row>
    <row r="24" spans="1:6" ht="15" customHeight="1" x14ac:dyDescent="0.3">
      <c r="A24" s="2" t="s">
        <v>645</v>
      </c>
      <c r="B24" s="2" t="s">
        <v>646</v>
      </c>
      <c r="C24" s="2" t="s">
        <v>638</v>
      </c>
      <c r="D24" s="2">
        <v>1</v>
      </c>
      <c r="E24" s="2" t="s">
        <v>115</v>
      </c>
      <c r="F24" s="2" t="s">
        <v>2153</v>
      </c>
    </row>
    <row r="25" spans="1:6" ht="15" customHeight="1" x14ac:dyDescent="0.3">
      <c r="A25" s="2" t="s">
        <v>673</v>
      </c>
      <c r="B25" s="2" t="s">
        <v>674</v>
      </c>
      <c r="C25" s="2" t="s">
        <v>672</v>
      </c>
      <c r="D25" s="2">
        <v>1</v>
      </c>
      <c r="E25" s="2" t="s">
        <v>373</v>
      </c>
      <c r="F25" s="2" t="s">
        <v>2153</v>
      </c>
    </row>
    <row r="26" spans="1:6" ht="15" customHeight="1" x14ac:dyDescent="0.3">
      <c r="A26" s="2" t="s">
        <v>692</v>
      </c>
      <c r="B26" s="2" t="s">
        <v>693</v>
      </c>
      <c r="C26" s="2" t="s">
        <v>679</v>
      </c>
      <c r="D26" s="2">
        <v>1</v>
      </c>
      <c r="E26" s="2" t="s">
        <v>115</v>
      </c>
      <c r="F26" s="2" t="s">
        <v>2153</v>
      </c>
    </row>
    <row r="27" spans="1:6" ht="15" customHeight="1" x14ac:dyDescent="0.3">
      <c r="A27" s="2" t="s">
        <v>676</v>
      </c>
      <c r="B27" s="2" t="s">
        <v>677</v>
      </c>
      <c r="C27" s="2" t="s">
        <v>679</v>
      </c>
      <c r="D27" s="2">
        <v>1</v>
      </c>
      <c r="E27" s="2" t="s">
        <v>115</v>
      </c>
      <c r="F27" s="2" t="s">
        <v>2153</v>
      </c>
    </row>
    <row r="28" spans="1:6" ht="15" customHeight="1" x14ac:dyDescent="0.3">
      <c r="A28" s="2" t="s">
        <v>775</v>
      </c>
      <c r="B28" s="2" t="s">
        <v>776</v>
      </c>
      <c r="C28" s="2" t="s">
        <v>742</v>
      </c>
      <c r="D28" s="2">
        <v>1</v>
      </c>
      <c r="E28" s="2" t="s">
        <v>373</v>
      </c>
      <c r="F28" s="2" t="s">
        <v>2153</v>
      </c>
    </row>
    <row r="29" spans="1:6" ht="15" customHeight="1" x14ac:dyDescent="0.3">
      <c r="A29" s="2" t="s">
        <v>778</v>
      </c>
      <c r="B29" s="2" t="s">
        <v>779</v>
      </c>
      <c r="C29" s="2" t="s">
        <v>781</v>
      </c>
      <c r="D29" s="2">
        <v>1</v>
      </c>
      <c r="E29" s="2" t="s">
        <v>115</v>
      </c>
      <c r="F29" s="2" t="s">
        <v>2153</v>
      </c>
    </row>
    <row r="30" spans="1:6" ht="15" customHeight="1" x14ac:dyDescent="0.3">
      <c r="A30" s="2" t="s">
        <v>799</v>
      </c>
      <c r="B30" s="2" t="s">
        <v>800</v>
      </c>
      <c r="C30" s="2" t="s">
        <v>784</v>
      </c>
      <c r="D30" s="2">
        <v>1</v>
      </c>
      <c r="E30" s="2" t="s">
        <v>115</v>
      </c>
      <c r="F30" s="2" t="s">
        <v>2153</v>
      </c>
    </row>
    <row r="31" spans="1:6" ht="15" customHeight="1" x14ac:dyDescent="0.3">
      <c r="A31" s="2" t="s">
        <v>820</v>
      </c>
      <c r="B31" s="2" t="s">
        <v>821</v>
      </c>
      <c r="C31" s="2" t="s">
        <v>811</v>
      </c>
      <c r="D31" s="2">
        <v>1</v>
      </c>
      <c r="E31" s="2" t="s">
        <v>115</v>
      </c>
      <c r="F31" s="2" t="s">
        <v>2153</v>
      </c>
    </row>
    <row r="32" spans="1:6" ht="15" customHeight="1" x14ac:dyDescent="0.3">
      <c r="A32" s="2" t="s">
        <v>837</v>
      </c>
      <c r="B32" s="2" t="s">
        <v>838</v>
      </c>
      <c r="C32" s="2" t="s">
        <v>836</v>
      </c>
      <c r="D32" s="2">
        <v>1</v>
      </c>
      <c r="E32" s="2" t="s">
        <v>115</v>
      </c>
      <c r="F32" s="2" t="s">
        <v>2153</v>
      </c>
    </row>
    <row r="33" spans="1:6" ht="15" customHeight="1" x14ac:dyDescent="0.3">
      <c r="A33" s="2" t="s">
        <v>888</v>
      </c>
      <c r="B33" s="2" t="s">
        <v>889</v>
      </c>
      <c r="C33" s="2" t="s">
        <v>867</v>
      </c>
      <c r="D33" s="2">
        <v>1</v>
      </c>
      <c r="E33" s="2" t="s">
        <v>115</v>
      </c>
      <c r="F33" s="2" t="s">
        <v>2153</v>
      </c>
    </row>
    <row r="34" spans="1:6" ht="15" customHeight="1" x14ac:dyDescent="0.3">
      <c r="A34" s="2" t="s">
        <v>925</v>
      </c>
      <c r="B34" s="2" t="s">
        <v>926</v>
      </c>
      <c r="C34" s="2" t="s">
        <v>920</v>
      </c>
      <c r="D34" s="2">
        <v>1</v>
      </c>
      <c r="E34" s="2" t="s">
        <v>115</v>
      </c>
      <c r="F34" s="2" t="s">
        <v>2153</v>
      </c>
    </row>
    <row r="35" spans="1:6" ht="15" customHeight="1" x14ac:dyDescent="0.3">
      <c r="A35" s="2" t="s">
        <v>1024</v>
      </c>
      <c r="C35" s="2" t="s">
        <v>1022</v>
      </c>
      <c r="D35" s="2">
        <v>1</v>
      </c>
      <c r="E35" s="2" t="s">
        <v>2010</v>
      </c>
      <c r="F35" s="2" t="s">
        <v>2153</v>
      </c>
    </row>
    <row r="36" spans="1:6" ht="15" customHeight="1" x14ac:dyDescent="0.3">
      <c r="A36" s="2" t="s">
        <v>1032</v>
      </c>
      <c r="B36" s="2" t="s">
        <v>1033</v>
      </c>
      <c r="C36" s="2" t="s">
        <v>1035</v>
      </c>
      <c r="D36" s="2">
        <v>1</v>
      </c>
      <c r="E36" s="2" t="s">
        <v>115</v>
      </c>
      <c r="F36" s="2" t="s">
        <v>2153</v>
      </c>
    </row>
    <row r="37" spans="1:6" ht="15" customHeight="1" x14ac:dyDescent="0.3">
      <c r="A37" s="2" t="s">
        <v>1048</v>
      </c>
      <c r="B37" s="2" t="s">
        <v>1049</v>
      </c>
      <c r="C37" s="2" t="s">
        <v>1051</v>
      </c>
      <c r="D37" s="2">
        <v>1</v>
      </c>
      <c r="E37" s="2" t="s">
        <v>373</v>
      </c>
      <c r="F37" s="2" t="s">
        <v>2153</v>
      </c>
    </row>
    <row r="38" spans="1:6" ht="15" customHeight="1" x14ac:dyDescent="0.3">
      <c r="A38" s="2" t="s">
        <v>1057</v>
      </c>
      <c r="B38" s="2" t="s">
        <v>1058</v>
      </c>
      <c r="C38" s="2" t="s">
        <v>1051</v>
      </c>
      <c r="D38" s="2">
        <v>1</v>
      </c>
      <c r="E38" s="2" t="s">
        <v>115</v>
      </c>
      <c r="F38" s="2" t="s">
        <v>2153</v>
      </c>
    </row>
    <row r="39" spans="1:6" ht="15" customHeight="1" x14ac:dyDescent="0.3">
      <c r="A39" s="2" t="s">
        <v>1088</v>
      </c>
      <c r="B39" s="2" t="s">
        <v>1089</v>
      </c>
      <c r="C39" s="2" t="s">
        <v>1091</v>
      </c>
      <c r="D39" s="2">
        <v>1</v>
      </c>
      <c r="E39" s="2" t="s">
        <v>115</v>
      </c>
      <c r="F39" s="2" t="s">
        <v>2153</v>
      </c>
    </row>
    <row r="40" spans="1:6" ht="15" customHeight="1" x14ac:dyDescent="0.3">
      <c r="A40" s="2" t="s">
        <v>1142</v>
      </c>
      <c r="B40" s="2" t="s">
        <v>1143</v>
      </c>
      <c r="C40" s="2" t="s">
        <v>1141</v>
      </c>
      <c r="D40" s="2">
        <v>1</v>
      </c>
      <c r="E40" s="2" t="s">
        <v>373</v>
      </c>
      <c r="F40" s="2" t="s">
        <v>2153</v>
      </c>
    </row>
    <row r="41" spans="1:6" ht="15" customHeight="1" x14ac:dyDescent="0.3">
      <c r="A41" s="2" t="s">
        <v>1171</v>
      </c>
      <c r="B41" s="2" t="s">
        <v>1172</v>
      </c>
      <c r="C41" s="2" t="s">
        <v>1150</v>
      </c>
      <c r="D41" s="2">
        <v>1</v>
      </c>
      <c r="E41" s="2" t="s">
        <v>115</v>
      </c>
      <c r="F41" s="2" t="s">
        <v>2153</v>
      </c>
    </row>
    <row r="42" spans="1:6" ht="15" customHeight="1" x14ac:dyDescent="0.3">
      <c r="A42" s="2" t="s">
        <v>1166</v>
      </c>
      <c r="B42" s="2" t="s">
        <v>1167</v>
      </c>
      <c r="C42" s="2" t="s">
        <v>1150</v>
      </c>
      <c r="D42" s="2">
        <v>1</v>
      </c>
      <c r="E42" s="2" t="s">
        <v>115</v>
      </c>
      <c r="F42" s="2" t="s">
        <v>2153</v>
      </c>
    </row>
    <row r="43" spans="1:6" ht="15" customHeight="1" x14ac:dyDescent="0.3">
      <c r="A43" s="2" t="s">
        <v>1181</v>
      </c>
      <c r="B43" s="2" t="s">
        <v>1182</v>
      </c>
      <c r="C43" s="2" t="s">
        <v>1170</v>
      </c>
      <c r="D43" s="2">
        <v>1</v>
      </c>
      <c r="E43" s="2" t="s">
        <v>115</v>
      </c>
      <c r="F43" s="2" t="s">
        <v>2153</v>
      </c>
    </row>
    <row r="44" spans="1:6" ht="15" customHeight="1" x14ac:dyDescent="0.3">
      <c r="A44" s="2" t="s">
        <v>1212</v>
      </c>
      <c r="B44" s="2" t="s">
        <v>1213</v>
      </c>
      <c r="C44" s="2" t="s">
        <v>1202</v>
      </c>
      <c r="D44" s="2">
        <v>1</v>
      </c>
      <c r="E44" s="2" t="s">
        <v>373</v>
      </c>
      <c r="F44" s="2" t="s">
        <v>2153</v>
      </c>
    </row>
    <row r="45" spans="1:6" ht="15" customHeight="1" x14ac:dyDescent="0.3">
      <c r="A45" s="2" t="s">
        <v>1225</v>
      </c>
      <c r="B45" s="2" t="s">
        <v>1226</v>
      </c>
      <c r="C45" s="2" t="s">
        <v>1221</v>
      </c>
      <c r="D45" s="2">
        <v>1</v>
      </c>
      <c r="E45" s="2" t="s">
        <v>373</v>
      </c>
      <c r="F45" s="2" t="s">
        <v>2153</v>
      </c>
    </row>
    <row r="46" spans="1:6" ht="15" customHeight="1" x14ac:dyDescent="0.3">
      <c r="A46" s="2" t="s">
        <v>1251</v>
      </c>
      <c r="B46" s="2" t="s">
        <v>1252</v>
      </c>
      <c r="C46" s="2" t="s">
        <v>1254</v>
      </c>
      <c r="D46" s="2">
        <v>1</v>
      </c>
      <c r="E46" s="2" t="s">
        <v>115</v>
      </c>
      <c r="F46" s="2" t="s">
        <v>2153</v>
      </c>
    </row>
    <row r="47" spans="1:6" ht="15" customHeight="1" x14ac:dyDescent="0.3">
      <c r="A47" s="2" t="s">
        <v>1313</v>
      </c>
      <c r="B47" s="2" t="s">
        <v>1314</v>
      </c>
      <c r="C47" s="2" t="s">
        <v>1309</v>
      </c>
      <c r="D47" s="2">
        <v>1</v>
      </c>
      <c r="E47" s="2" t="s">
        <v>373</v>
      </c>
      <c r="F47" s="2" t="s">
        <v>2153</v>
      </c>
    </row>
    <row r="48" spans="1:6" ht="15" customHeight="1" x14ac:dyDescent="0.3">
      <c r="A48" s="2" t="s">
        <v>1369</v>
      </c>
      <c r="B48" s="2" t="s">
        <v>1370</v>
      </c>
      <c r="C48" s="2" t="s">
        <v>1332</v>
      </c>
      <c r="D48" s="2">
        <v>1</v>
      </c>
      <c r="E48" s="2" t="s">
        <v>115</v>
      </c>
      <c r="F48" s="2" t="s">
        <v>2153</v>
      </c>
    </row>
    <row r="49" spans="1:6" ht="15" customHeight="1" x14ac:dyDescent="0.3">
      <c r="A49" s="2" t="s">
        <v>1361</v>
      </c>
      <c r="B49" s="2" t="s">
        <v>1362</v>
      </c>
      <c r="C49" s="2" t="s">
        <v>1332</v>
      </c>
      <c r="D49" s="2">
        <v>1</v>
      </c>
      <c r="E49" s="2" t="s">
        <v>373</v>
      </c>
      <c r="F49" s="2" t="s">
        <v>2153</v>
      </c>
    </row>
    <row r="50" spans="1:6" ht="15" customHeight="1" x14ac:dyDescent="0.3">
      <c r="A50" s="2" t="s">
        <v>1383</v>
      </c>
      <c r="B50" s="2" t="s">
        <v>1384</v>
      </c>
      <c r="C50" s="2" t="s">
        <v>1337</v>
      </c>
      <c r="D50" s="2">
        <v>1</v>
      </c>
      <c r="E50" s="2" t="s">
        <v>115</v>
      </c>
      <c r="F50" s="2" t="s">
        <v>2153</v>
      </c>
    </row>
    <row r="51" spans="1:6" ht="15" customHeight="1" x14ac:dyDescent="0.3">
      <c r="A51" s="2" t="s">
        <v>1416</v>
      </c>
      <c r="B51" s="2" t="s">
        <v>1417</v>
      </c>
      <c r="C51" s="2" t="s">
        <v>1397</v>
      </c>
      <c r="D51" s="2">
        <v>1</v>
      </c>
      <c r="E51" s="2" t="s">
        <v>373</v>
      </c>
      <c r="F51" s="2" t="s">
        <v>2153</v>
      </c>
    </row>
    <row r="52" spans="1:6" ht="15" customHeight="1" x14ac:dyDescent="0.3">
      <c r="A52" s="2" t="s">
        <v>1454</v>
      </c>
      <c r="B52" s="2" t="s">
        <v>1455</v>
      </c>
      <c r="C52" s="2" t="s">
        <v>1423</v>
      </c>
      <c r="D52" s="2">
        <v>1</v>
      </c>
      <c r="E52" s="2" t="s">
        <v>115</v>
      </c>
      <c r="F52" s="2" t="s">
        <v>2153</v>
      </c>
    </row>
    <row r="53" spans="1:6" ht="15" customHeight="1" x14ac:dyDescent="0.3">
      <c r="A53" s="2" t="s">
        <v>1495</v>
      </c>
      <c r="B53" s="2" t="s">
        <v>1496</v>
      </c>
      <c r="C53" s="2" t="s">
        <v>1485</v>
      </c>
      <c r="D53" s="2">
        <v>1</v>
      </c>
      <c r="E53" s="2" t="s">
        <v>115</v>
      </c>
      <c r="F53" s="2" t="s">
        <v>2153</v>
      </c>
    </row>
    <row r="54" spans="1:6" ht="15" customHeight="1" x14ac:dyDescent="0.3">
      <c r="A54" s="2" t="s">
        <v>1528</v>
      </c>
      <c r="B54" s="2" t="s">
        <v>1529</v>
      </c>
      <c r="C54" s="2" t="s">
        <v>1515</v>
      </c>
      <c r="D54" s="2">
        <v>1</v>
      </c>
      <c r="E54" s="2" t="s">
        <v>115</v>
      </c>
      <c r="F54" s="2" t="s">
        <v>2153</v>
      </c>
    </row>
    <row r="55" spans="1:6" ht="15" customHeight="1" x14ac:dyDescent="0.3">
      <c r="A55" s="2" t="s">
        <v>1544</v>
      </c>
      <c r="B55" s="2" t="s">
        <v>1545</v>
      </c>
      <c r="C55" s="2" t="s">
        <v>1518</v>
      </c>
      <c r="D55" s="2">
        <v>1</v>
      </c>
      <c r="E55" s="2" t="s">
        <v>115</v>
      </c>
      <c r="F55" s="2" t="s">
        <v>2153</v>
      </c>
    </row>
    <row r="56" spans="1:6" ht="15" customHeight="1" x14ac:dyDescent="0.3">
      <c r="A56" s="2" t="s">
        <v>1566</v>
      </c>
      <c r="B56" s="2" t="s">
        <v>1567</v>
      </c>
      <c r="C56" s="2" t="s">
        <v>1543</v>
      </c>
      <c r="D56" s="2">
        <v>1</v>
      </c>
      <c r="E56" s="2" t="s">
        <v>115</v>
      </c>
      <c r="F56" s="2" t="s">
        <v>2153</v>
      </c>
    </row>
    <row r="57" spans="1:6" ht="15" customHeight="1" x14ac:dyDescent="0.3">
      <c r="A57" s="2" t="s">
        <v>1571</v>
      </c>
      <c r="B57" s="2" t="s">
        <v>1572</v>
      </c>
      <c r="C57" s="2" t="s">
        <v>1543</v>
      </c>
      <c r="D57" s="2">
        <v>1</v>
      </c>
      <c r="E57" s="2" t="s">
        <v>115</v>
      </c>
      <c r="F57" s="2" t="s">
        <v>2153</v>
      </c>
    </row>
    <row r="58" spans="1:6" ht="15" customHeight="1" x14ac:dyDescent="0.3">
      <c r="A58" s="2" t="s">
        <v>1630</v>
      </c>
      <c r="B58" s="2" t="s">
        <v>1631</v>
      </c>
      <c r="C58" s="2" t="s">
        <v>1581</v>
      </c>
      <c r="D58" s="2">
        <v>1</v>
      </c>
      <c r="E58" s="2" t="s">
        <v>115</v>
      </c>
      <c r="F58" s="2" t="s">
        <v>2153</v>
      </c>
    </row>
    <row r="59" spans="1:6" ht="15" customHeight="1" x14ac:dyDescent="0.3">
      <c r="A59" s="2" t="s">
        <v>1615</v>
      </c>
      <c r="B59" s="2" t="s">
        <v>1616</v>
      </c>
      <c r="C59" s="2" t="s">
        <v>1581</v>
      </c>
      <c r="D59" s="2">
        <v>1</v>
      </c>
      <c r="E59" s="2" t="s">
        <v>115</v>
      </c>
      <c r="F59" s="2" t="s">
        <v>2153</v>
      </c>
    </row>
    <row r="60" spans="1:6" ht="15" customHeight="1" x14ac:dyDescent="0.3">
      <c r="A60" s="2" t="s">
        <v>1635</v>
      </c>
      <c r="B60" s="2" t="s">
        <v>1636</v>
      </c>
      <c r="C60" s="2" t="s">
        <v>1605</v>
      </c>
      <c r="D60" s="2">
        <v>1</v>
      </c>
      <c r="E60" s="2" t="s">
        <v>115</v>
      </c>
      <c r="F60" s="2" t="s">
        <v>2153</v>
      </c>
    </row>
    <row r="61" spans="1:6" ht="15" customHeight="1" x14ac:dyDescent="0.3">
      <c r="A61" s="2" t="s">
        <v>1639</v>
      </c>
      <c r="B61" s="2" t="s">
        <v>1640</v>
      </c>
      <c r="C61" s="2" t="s">
        <v>1605</v>
      </c>
      <c r="D61" s="2">
        <v>1</v>
      </c>
      <c r="E61" s="2" t="s">
        <v>2010</v>
      </c>
      <c r="F61" s="2" t="s">
        <v>2153</v>
      </c>
    </row>
    <row r="62" spans="1:6" ht="15" customHeight="1" x14ac:dyDescent="0.3">
      <c r="A62" s="2" t="s">
        <v>1702</v>
      </c>
      <c r="B62" s="2" t="s">
        <v>1703</v>
      </c>
      <c r="C62" s="2" t="s">
        <v>1705</v>
      </c>
      <c r="D62" s="2">
        <v>1</v>
      </c>
      <c r="E62" s="2" t="s">
        <v>115</v>
      </c>
      <c r="F62" s="2" t="s">
        <v>2153</v>
      </c>
    </row>
    <row r="63" spans="1:6" ht="15" customHeight="1" x14ac:dyDescent="0.3">
      <c r="A63" s="2" t="s">
        <v>1720</v>
      </c>
      <c r="B63" s="2" t="s">
        <v>1721</v>
      </c>
      <c r="C63" s="2" t="s">
        <v>1719</v>
      </c>
      <c r="D63" s="2">
        <v>1</v>
      </c>
      <c r="E63" s="2" t="s">
        <v>115</v>
      </c>
      <c r="F63" s="2" t="s">
        <v>2153</v>
      </c>
    </row>
    <row r="64" spans="1:6" ht="15" customHeight="1" x14ac:dyDescent="0.3">
      <c r="A64" s="2" t="s">
        <v>1799</v>
      </c>
      <c r="B64" s="2" t="s">
        <v>1800</v>
      </c>
      <c r="C64" s="2" t="s">
        <v>1779</v>
      </c>
      <c r="D64" s="2">
        <v>1</v>
      </c>
      <c r="E64" s="2" t="s">
        <v>115</v>
      </c>
      <c r="F64" s="2" t="s">
        <v>2153</v>
      </c>
    </row>
    <row r="65" spans="1:6" ht="15" customHeight="1" x14ac:dyDescent="0.3">
      <c r="A65" s="2" t="s">
        <v>1827</v>
      </c>
      <c r="B65" s="2" t="s">
        <v>1828</v>
      </c>
      <c r="C65" s="2" t="s">
        <v>1798</v>
      </c>
      <c r="D65" s="2">
        <v>1</v>
      </c>
      <c r="E65" s="2" t="s">
        <v>115</v>
      </c>
      <c r="F65" s="2" t="s">
        <v>2153</v>
      </c>
    </row>
    <row r="66" spans="1:6" ht="15" customHeight="1" x14ac:dyDescent="0.3">
      <c r="A66" s="2" t="s">
        <v>1832</v>
      </c>
      <c r="B66" s="2" t="s">
        <v>1833</v>
      </c>
      <c r="C66" s="2" t="s">
        <v>1798</v>
      </c>
      <c r="D66" s="2">
        <v>1</v>
      </c>
      <c r="E66" s="2" t="s">
        <v>115</v>
      </c>
      <c r="F66" s="2" t="s">
        <v>2153</v>
      </c>
    </row>
    <row r="67" spans="1:6" ht="15" customHeight="1" x14ac:dyDescent="0.3">
      <c r="A67" s="2" t="s">
        <v>1872</v>
      </c>
      <c r="B67" s="2" t="s">
        <v>1873</v>
      </c>
      <c r="C67" s="2" t="s">
        <v>1875</v>
      </c>
      <c r="D67" s="2">
        <v>1</v>
      </c>
      <c r="E67" s="2" t="s">
        <v>115</v>
      </c>
      <c r="F67" s="2" t="s">
        <v>2153</v>
      </c>
    </row>
    <row r="68" spans="1:6" ht="15" customHeight="1" x14ac:dyDescent="0.3">
      <c r="A68" s="2" t="s">
        <v>1894</v>
      </c>
      <c r="B68" s="2" t="s">
        <v>1895</v>
      </c>
      <c r="C68" s="2" t="s">
        <v>1882</v>
      </c>
      <c r="D68" s="2">
        <v>1</v>
      </c>
      <c r="E68" s="2" t="s">
        <v>115</v>
      </c>
      <c r="F68" s="2" t="s">
        <v>2153</v>
      </c>
    </row>
    <row r="69" spans="1:6" ht="15" customHeight="1" x14ac:dyDescent="0.3">
      <c r="A69" s="2" t="s">
        <v>1899</v>
      </c>
      <c r="B69" s="2" t="s">
        <v>1900</v>
      </c>
      <c r="C69" s="2" t="s">
        <v>1882</v>
      </c>
      <c r="D69" s="2">
        <v>1</v>
      </c>
      <c r="E69" s="2" t="s">
        <v>373</v>
      </c>
      <c r="F69" s="2" t="s">
        <v>2153</v>
      </c>
    </row>
    <row r="70" spans="1:6" ht="15" customHeight="1" x14ac:dyDescent="0.3">
      <c r="A70" s="2" t="s">
        <v>1913</v>
      </c>
      <c r="B70" s="2" t="s">
        <v>1914</v>
      </c>
      <c r="C70" s="2" t="s">
        <v>1893</v>
      </c>
      <c r="D70" s="2">
        <v>1</v>
      </c>
      <c r="E70" s="2" t="s">
        <v>115</v>
      </c>
      <c r="F70" s="2" t="s">
        <v>2153</v>
      </c>
    </row>
    <row r="71" spans="1:6" ht="15" customHeight="1" x14ac:dyDescent="0.3">
      <c r="A71" s="2" t="s">
        <v>1935</v>
      </c>
      <c r="C71" s="2" t="s">
        <v>1907</v>
      </c>
      <c r="D71" s="2">
        <v>1</v>
      </c>
      <c r="E71" s="2" t="s">
        <v>2010</v>
      </c>
      <c r="F71" s="2" t="s">
        <v>2153</v>
      </c>
    </row>
    <row r="72" spans="1:6" ht="15" customHeight="1" x14ac:dyDescent="0.3">
      <c r="A72" s="2" t="s">
        <v>1965</v>
      </c>
      <c r="B72" s="2" t="s">
        <v>1966</v>
      </c>
      <c r="C72" s="2" t="s">
        <v>1962</v>
      </c>
      <c r="D72" s="2">
        <v>1</v>
      </c>
      <c r="E72" s="2" t="s">
        <v>115</v>
      </c>
      <c r="F72" s="2" t="s">
        <v>2153</v>
      </c>
    </row>
    <row r="73" spans="1:6" ht="15" customHeight="1" x14ac:dyDescent="0.3">
      <c r="A73" s="2" t="s">
        <v>1975</v>
      </c>
      <c r="B73" s="2" t="s">
        <v>1976</v>
      </c>
      <c r="C73" s="2" t="s">
        <v>1969</v>
      </c>
      <c r="D73" s="2">
        <v>1</v>
      </c>
      <c r="E73" s="2" t="s">
        <v>115</v>
      </c>
      <c r="F73" s="2" t="s">
        <v>2153</v>
      </c>
    </row>
    <row r="74" spans="1:6" ht="15" customHeight="1" x14ac:dyDescent="0.3">
      <c r="A74" s="2" t="s">
        <v>1991</v>
      </c>
      <c r="B74" s="2" t="s">
        <v>1992</v>
      </c>
      <c r="C74" s="2" t="s">
        <v>1990</v>
      </c>
      <c r="D74" s="2">
        <v>1</v>
      </c>
      <c r="E74" s="2" t="s">
        <v>49</v>
      </c>
      <c r="F74" s="2" t="s">
        <v>2153</v>
      </c>
    </row>
    <row r="75" spans="1:6" ht="15" customHeight="1" x14ac:dyDescent="0.3">
      <c r="A75" s="2" t="s">
        <v>2076</v>
      </c>
      <c r="B75" s="2" t="s">
        <v>2077</v>
      </c>
      <c r="C75" s="2" t="s">
        <v>2073</v>
      </c>
      <c r="D75" s="2">
        <v>1</v>
      </c>
      <c r="E75" s="2" t="s">
        <v>115</v>
      </c>
      <c r="F75" s="2" t="s">
        <v>2153</v>
      </c>
    </row>
    <row r="76" spans="1:6" ht="15" customHeight="1" x14ac:dyDescent="0.3">
      <c r="A76" s="2" t="s">
        <v>2116</v>
      </c>
      <c r="B76" s="2" t="s">
        <v>2117</v>
      </c>
      <c r="C76" s="2" t="s">
        <v>2110</v>
      </c>
      <c r="D76" s="2">
        <v>1</v>
      </c>
      <c r="E76" s="2" t="s">
        <v>115</v>
      </c>
      <c r="F76" s="2" t="s">
        <v>2153</v>
      </c>
    </row>
    <row r="77" spans="1:6" ht="15" customHeight="1" x14ac:dyDescent="0.3">
      <c r="A77" s="2" t="s">
        <v>112</v>
      </c>
      <c r="B77" s="2" t="s">
        <v>113</v>
      </c>
      <c r="C77" s="2" t="s">
        <v>89</v>
      </c>
      <c r="D77" s="2">
        <v>2</v>
      </c>
      <c r="E77" s="2" t="s">
        <v>115</v>
      </c>
      <c r="F77" s="2" t="s">
        <v>2154</v>
      </c>
    </row>
    <row r="78" spans="1:6" ht="15" customHeight="1" x14ac:dyDescent="0.3">
      <c r="A78" s="2" t="s">
        <v>339</v>
      </c>
      <c r="B78" s="2" t="s">
        <v>340</v>
      </c>
      <c r="C78" s="2" t="s">
        <v>314</v>
      </c>
      <c r="D78" s="2">
        <v>2</v>
      </c>
      <c r="E78" s="2" t="s">
        <v>115</v>
      </c>
      <c r="F78" s="2" t="s">
        <v>2154</v>
      </c>
    </row>
    <row r="79" spans="1:6" ht="15" customHeight="1" x14ac:dyDescent="0.3">
      <c r="A79" s="2" t="s">
        <v>370</v>
      </c>
      <c r="B79" s="2" t="s">
        <v>371</v>
      </c>
      <c r="C79" s="2" t="s">
        <v>369</v>
      </c>
      <c r="D79" s="2">
        <v>2</v>
      </c>
      <c r="E79" s="2" t="s">
        <v>373</v>
      </c>
      <c r="F79" s="2" t="s">
        <v>2154</v>
      </c>
    </row>
    <row r="80" spans="1:6" ht="15" customHeight="1" x14ac:dyDescent="0.3">
      <c r="A80" s="2" t="s">
        <v>444</v>
      </c>
      <c r="B80" s="2" t="s">
        <v>445</v>
      </c>
      <c r="C80" s="2" t="s">
        <v>447</v>
      </c>
      <c r="D80" s="2">
        <v>2</v>
      </c>
      <c r="E80" s="2" t="s">
        <v>115</v>
      </c>
      <c r="F80" s="2" t="s">
        <v>2154</v>
      </c>
    </row>
    <row r="81" spans="1:6" ht="15" customHeight="1" x14ac:dyDescent="0.3">
      <c r="A81" s="2" t="s">
        <v>475</v>
      </c>
      <c r="B81" s="2" t="s">
        <v>476</v>
      </c>
      <c r="C81" s="2" t="s">
        <v>478</v>
      </c>
      <c r="D81" s="2">
        <v>2</v>
      </c>
      <c r="E81" s="2" t="s">
        <v>115</v>
      </c>
      <c r="F81" s="2" t="s">
        <v>2154</v>
      </c>
    </row>
    <row r="82" spans="1:6" ht="15" customHeight="1" x14ac:dyDescent="0.3">
      <c r="A82" s="2" t="s">
        <v>502</v>
      </c>
      <c r="B82" s="2" t="s">
        <v>503</v>
      </c>
      <c r="C82" s="2" t="s">
        <v>500</v>
      </c>
      <c r="D82" s="2">
        <v>2</v>
      </c>
      <c r="E82" s="2" t="s">
        <v>115</v>
      </c>
      <c r="F82" s="2" t="s">
        <v>2154</v>
      </c>
    </row>
    <row r="83" spans="1:6" ht="15" customHeight="1" x14ac:dyDescent="0.3">
      <c r="A83" s="2" t="s">
        <v>526</v>
      </c>
      <c r="B83" s="2" t="s">
        <v>527</v>
      </c>
      <c r="C83" s="2" t="s">
        <v>529</v>
      </c>
      <c r="D83" s="2">
        <v>2</v>
      </c>
      <c r="E83" s="2" t="s">
        <v>115</v>
      </c>
      <c r="F83" s="2" t="s">
        <v>2154</v>
      </c>
    </row>
    <row r="84" spans="1:6" ht="15" customHeight="1" x14ac:dyDescent="0.3">
      <c r="A84" s="2" t="s">
        <v>545</v>
      </c>
      <c r="B84" s="2" t="s">
        <v>546</v>
      </c>
      <c r="C84" s="2" t="s">
        <v>535</v>
      </c>
      <c r="D84" s="2">
        <v>2</v>
      </c>
      <c r="E84" s="2" t="s">
        <v>115</v>
      </c>
      <c r="F84" s="2" t="s">
        <v>2154</v>
      </c>
    </row>
    <row r="85" spans="1:6" ht="15" customHeight="1" x14ac:dyDescent="0.3">
      <c r="A85" s="2" t="s">
        <v>550</v>
      </c>
      <c r="B85" s="2" t="s">
        <v>551</v>
      </c>
      <c r="C85" s="2" t="s">
        <v>553</v>
      </c>
      <c r="D85" s="2">
        <v>2</v>
      </c>
      <c r="E85" s="2" t="s">
        <v>115</v>
      </c>
      <c r="F85" s="2" t="s">
        <v>2154</v>
      </c>
    </row>
    <row r="86" spans="1:6" ht="15" customHeight="1" x14ac:dyDescent="0.3">
      <c r="A86" s="2" t="s">
        <v>789</v>
      </c>
      <c r="B86" s="2" t="s">
        <v>790</v>
      </c>
      <c r="C86" s="2" t="s">
        <v>784</v>
      </c>
      <c r="D86" s="2">
        <v>2</v>
      </c>
      <c r="E86" s="2" t="s">
        <v>115</v>
      </c>
      <c r="F86" s="2" t="s">
        <v>2154</v>
      </c>
    </row>
    <row r="87" spans="1:6" ht="15" customHeight="1" x14ac:dyDescent="0.3">
      <c r="A87" s="2" t="s">
        <v>825</v>
      </c>
      <c r="B87" s="2" t="s">
        <v>826</v>
      </c>
      <c r="C87" s="2" t="s">
        <v>814</v>
      </c>
      <c r="D87" s="2">
        <v>2</v>
      </c>
      <c r="E87" s="2" t="s">
        <v>115</v>
      </c>
      <c r="F87" s="2" t="s">
        <v>2154</v>
      </c>
    </row>
    <row r="88" spans="1:6" ht="15" customHeight="1" x14ac:dyDescent="0.3">
      <c r="A88" s="2" t="s">
        <v>830</v>
      </c>
      <c r="B88" s="2" t="s">
        <v>831</v>
      </c>
      <c r="C88" s="2" t="s">
        <v>833</v>
      </c>
      <c r="D88" s="2">
        <v>2</v>
      </c>
      <c r="E88" s="2" t="s">
        <v>115</v>
      </c>
      <c r="F88" s="2" t="s">
        <v>2154</v>
      </c>
    </row>
    <row r="89" spans="1:6" ht="15" customHeight="1" x14ac:dyDescent="0.3">
      <c r="A89" s="2" t="s">
        <v>905</v>
      </c>
      <c r="B89" s="2" t="s">
        <v>906</v>
      </c>
      <c r="C89" s="2" t="s">
        <v>899</v>
      </c>
      <c r="D89" s="2">
        <v>2</v>
      </c>
      <c r="E89" s="2" t="s">
        <v>115</v>
      </c>
      <c r="F89" s="2" t="s">
        <v>2154</v>
      </c>
    </row>
    <row r="90" spans="1:6" ht="15" customHeight="1" x14ac:dyDescent="0.3">
      <c r="A90" s="2" t="s">
        <v>959</v>
      </c>
      <c r="B90" s="2" t="s">
        <v>960</v>
      </c>
      <c r="C90" s="2" t="s">
        <v>958</v>
      </c>
      <c r="D90" s="2">
        <v>2</v>
      </c>
      <c r="E90" s="2" t="s">
        <v>115</v>
      </c>
      <c r="F90" s="2" t="s">
        <v>2154</v>
      </c>
    </row>
    <row r="91" spans="1:6" ht="15" customHeight="1" x14ac:dyDescent="0.3">
      <c r="A91" s="2" t="s">
        <v>1043</v>
      </c>
      <c r="B91" s="2" t="s">
        <v>1044</v>
      </c>
      <c r="C91" s="2" t="s">
        <v>1041</v>
      </c>
      <c r="D91" s="2">
        <v>2</v>
      </c>
      <c r="E91" s="2" t="s">
        <v>115</v>
      </c>
      <c r="F91" s="2" t="s">
        <v>2154</v>
      </c>
    </row>
    <row r="92" spans="1:6" ht="15" customHeight="1" x14ac:dyDescent="0.3">
      <c r="A92" s="2" t="s">
        <v>1176</v>
      </c>
      <c r="B92" s="2" t="s">
        <v>1177</v>
      </c>
      <c r="C92" s="2" t="s">
        <v>1150</v>
      </c>
      <c r="D92" s="2">
        <v>2</v>
      </c>
      <c r="E92" s="2" t="s">
        <v>115</v>
      </c>
      <c r="F92" s="2" t="s">
        <v>2154</v>
      </c>
    </row>
    <row r="93" spans="1:6" ht="15" customHeight="1" x14ac:dyDescent="0.3">
      <c r="A93" s="2" t="s">
        <v>1186</v>
      </c>
      <c r="B93" s="2" t="s">
        <v>1187</v>
      </c>
      <c r="C93" s="2" t="s">
        <v>1170</v>
      </c>
      <c r="D93" s="2">
        <v>2</v>
      </c>
      <c r="E93" s="2" t="s">
        <v>115</v>
      </c>
      <c r="F93" s="2" t="s">
        <v>2154</v>
      </c>
    </row>
    <row r="94" spans="1:6" ht="15" customHeight="1" x14ac:dyDescent="0.3">
      <c r="A94" s="2" t="s">
        <v>1191</v>
      </c>
      <c r="B94" s="2" t="s">
        <v>1192</v>
      </c>
      <c r="C94" s="2" t="s">
        <v>1194</v>
      </c>
      <c r="D94" s="2">
        <v>2</v>
      </c>
      <c r="E94" s="2" t="s">
        <v>115</v>
      </c>
      <c r="F94" s="2" t="s">
        <v>2154</v>
      </c>
    </row>
    <row r="95" spans="1:6" ht="15" customHeight="1" x14ac:dyDescent="0.3">
      <c r="A95" s="2" t="s">
        <v>1207</v>
      </c>
      <c r="B95" s="2" t="s">
        <v>1208</v>
      </c>
      <c r="C95" s="2" t="s">
        <v>1200</v>
      </c>
      <c r="D95" s="2">
        <v>2</v>
      </c>
      <c r="E95" s="2" t="s">
        <v>115</v>
      </c>
      <c r="F95" s="2" t="s">
        <v>2154</v>
      </c>
    </row>
    <row r="96" spans="1:6" ht="15" customHeight="1" x14ac:dyDescent="0.3">
      <c r="A96" s="2" t="s">
        <v>1215</v>
      </c>
      <c r="B96" s="2" t="s">
        <v>1216</v>
      </c>
      <c r="C96" s="2" t="s">
        <v>1202</v>
      </c>
      <c r="D96" s="2">
        <v>2</v>
      </c>
      <c r="E96" s="2" t="s">
        <v>373</v>
      </c>
      <c r="F96" s="2" t="s">
        <v>2154</v>
      </c>
    </row>
    <row r="97" spans="1:6" ht="15" customHeight="1" x14ac:dyDescent="0.3">
      <c r="A97" s="2" t="s">
        <v>1297</v>
      </c>
      <c r="B97" s="2" t="s">
        <v>1298</v>
      </c>
      <c r="C97" s="2" t="s">
        <v>1277</v>
      </c>
      <c r="D97" s="2">
        <v>2</v>
      </c>
      <c r="E97" s="2" t="s">
        <v>115</v>
      </c>
      <c r="F97" s="2" t="s">
        <v>2154</v>
      </c>
    </row>
    <row r="98" spans="1:6" ht="15" customHeight="1" x14ac:dyDescent="0.3">
      <c r="A98" s="2" t="s">
        <v>1316</v>
      </c>
      <c r="B98" s="2" t="s">
        <v>1317</v>
      </c>
      <c r="C98" s="2" t="s">
        <v>1312</v>
      </c>
      <c r="D98" s="2">
        <v>2</v>
      </c>
      <c r="E98" s="2" t="s">
        <v>373</v>
      </c>
      <c r="F98" s="2" t="s">
        <v>2154</v>
      </c>
    </row>
    <row r="99" spans="1:6" ht="15" customHeight="1" x14ac:dyDescent="0.3">
      <c r="A99" s="2" t="s">
        <v>1477</v>
      </c>
      <c r="B99" s="2" t="s">
        <v>1478</v>
      </c>
      <c r="C99" s="2" t="s">
        <v>1432</v>
      </c>
      <c r="D99" s="2">
        <v>2</v>
      </c>
      <c r="E99" s="2" t="s">
        <v>115</v>
      </c>
      <c r="F99" s="2" t="s">
        <v>2154</v>
      </c>
    </row>
    <row r="100" spans="1:6" ht="15" customHeight="1" x14ac:dyDescent="0.3">
      <c r="A100" s="2" t="s">
        <v>1623</v>
      </c>
      <c r="B100" s="2" t="s">
        <v>1624</v>
      </c>
      <c r="C100" s="2" t="s">
        <v>1581</v>
      </c>
      <c r="D100" s="2">
        <v>2</v>
      </c>
      <c r="E100" s="2" t="s">
        <v>373</v>
      </c>
      <c r="F100" s="2" t="s">
        <v>2154</v>
      </c>
    </row>
    <row r="101" spans="1:6" ht="15" customHeight="1" x14ac:dyDescent="0.3">
      <c r="A101" s="2" t="s">
        <v>1784</v>
      </c>
      <c r="B101" s="2" t="s">
        <v>1785</v>
      </c>
      <c r="C101" s="2" t="s">
        <v>1779</v>
      </c>
      <c r="D101" s="2">
        <v>2</v>
      </c>
      <c r="E101" s="2" t="s">
        <v>115</v>
      </c>
      <c r="F101" s="2" t="s">
        <v>2154</v>
      </c>
    </row>
    <row r="102" spans="1:6" ht="15" customHeight="1" x14ac:dyDescent="0.3">
      <c r="A102" s="2" t="s">
        <v>1843</v>
      </c>
      <c r="B102" s="2" t="s">
        <v>1844</v>
      </c>
      <c r="C102" s="2" t="s">
        <v>1842</v>
      </c>
      <c r="D102" s="2">
        <v>2</v>
      </c>
      <c r="E102" s="2" t="s">
        <v>115</v>
      </c>
      <c r="F102" s="2" t="s">
        <v>2154</v>
      </c>
    </row>
    <row r="103" spans="1:6" ht="15" customHeight="1" x14ac:dyDescent="0.3">
      <c r="A103" s="2" t="s">
        <v>1924</v>
      </c>
      <c r="B103" s="2" t="s">
        <v>1925</v>
      </c>
      <c r="C103" s="2" t="s">
        <v>1920</v>
      </c>
      <c r="D103" s="2">
        <v>2</v>
      </c>
      <c r="E103" s="2" t="s">
        <v>373</v>
      </c>
      <c r="F103" s="2" t="s">
        <v>2154</v>
      </c>
    </row>
    <row r="104" spans="1:6" ht="15" customHeight="1" x14ac:dyDescent="0.3">
      <c r="A104" s="2" t="s">
        <v>1942</v>
      </c>
      <c r="B104" s="2" t="s">
        <v>1943</v>
      </c>
      <c r="C104" s="2" t="s">
        <v>1945</v>
      </c>
      <c r="D104" s="2">
        <v>2</v>
      </c>
      <c r="E104" s="2" t="s">
        <v>115</v>
      </c>
      <c r="F104" s="2" t="s">
        <v>2154</v>
      </c>
    </row>
    <row r="105" spans="1:6" ht="15" customHeight="1" x14ac:dyDescent="0.3">
      <c r="A105" s="2" t="s">
        <v>1948</v>
      </c>
      <c r="B105" s="2" t="s">
        <v>1949</v>
      </c>
      <c r="C105" s="2" t="s">
        <v>1945</v>
      </c>
      <c r="D105" s="2">
        <v>2</v>
      </c>
      <c r="E105" s="2" t="s">
        <v>115</v>
      </c>
      <c r="F105" s="2" t="s">
        <v>2154</v>
      </c>
    </row>
    <row r="106" spans="1:6" ht="15" customHeight="1" x14ac:dyDescent="0.3">
      <c r="A106" s="2" t="s">
        <v>1959</v>
      </c>
      <c r="B106" s="2" t="s">
        <v>1960</v>
      </c>
      <c r="C106" s="2" t="s">
        <v>1962</v>
      </c>
      <c r="D106" s="2">
        <v>2</v>
      </c>
      <c r="E106" s="2" t="s">
        <v>115</v>
      </c>
      <c r="F106" s="2" t="s">
        <v>2154</v>
      </c>
    </row>
    <row r="107" spans="1:6" ht="15" customHeight="1" x14ac:dyDescent="0.3">
      <c r="A107" s="2" t="s">
        <v>2006</v>
      </c>
      <c r="B107" s="2" t="s">
        <v>2007</v>
      </c>
      <c r="C107" s="2" t="s">
        <v>2009</v>
      </c>
      <c r="D107" s="2">
        <v>2</v>
      </c>
      <c r="E107" s="2" t="s">
        <v>2010</v>
      </c>
      <c r="F107" s="2" t="s">
        <v>2154</v>
      </c>
    </row>
    <row r="108" spans="1:6" ht="15" customHeight="1" x14ac:dyDescent="0.3">
      <c r="A108" s="2" t="s">
        <v>2043</v>
      </c>
      <c r="B108" s="2" t="s">
        <v>2044</v>
      </c>
      <c r="C108" s="2" t="s">
        <v>2035</v>
      </c>
      <c r="D108" s="2">
        <v>2</v>
      </c>
      <c r="E108" s="2" t="s">
        <v>115</v>
      </c>
      <c r="F108" s="2" t="s">
        <v>2154</v>
      </c>
    </row>
    <row r="109" spans="1:6" ht="15" customHeight="1" x14ac:dyDescent="0.3">
      <c r="A109" s="2" t="s">
        <v>2081</v>
      </c>
      <c r="B109" s="2" t="s">
        <v>2082</v>
      </c>
      <c r="C109" s="2" t="s">
        <v>2073</v>
      </c>
      <c r="D109" s="2">
        <v>2</v>
      </c>
      <c r="E109" s="2" t="s">
        <v>115</v>
      </c>
      <c r="F109" s="2" t="s">
        <v>2154</v>
      </c>
    </row>
    <row r="110" spans="1:6" ht="15" customHeight="1" x14ac:dyDescent="0.3">
      <c r="A110" s="2" t="s">
        <v>2085</v>
      </c>
      <c r="B110" s="2" t="s">
        <v>2086</v>
      </c>
      <c r="C110" s="2" t="s">
        <v>2075</v>
      </c>
      <c r="D110" s="2">
        <v>2</v>
      </c>
      <c r="E110" s="2" t="s">
        <v>373</v>
      </c>
      <c r="F110" s="2" t="s">
        <v>2154</v>
      </c>
    </row>
    <row r="111" spans="1:6" ht="15" customHeight="1" x14ac:dyDescent="0.3">
      <c r="A111" s="2" t="s">
        <v>2094</v>
      </c>
      <c r="B111" s="2" t="s">
        <v>2095</v>
      </c>
      <c r="C111" s="2" t="s">
        <v>2097</v>
      </c>
      <c r="D111" s="2">
        <v>2</v>
      </c>
      <c r="E111" s="2" t="s">
        <v>115</v>
      </c>
      <c r="F111" s="2" t="s">
        <v>2154</v>
      </c>
    </row>
    <row r="112" spans="1:6" ht="15" customHeight="1" x14ac:dyDescent="0.3">
      <c r="A112" s="2" t="s">
        <v>2124</v>
      </c>
      <c r="B112" s="2" t="s">
        <v>2125</v>
      </c>
      <c r="C112" s="2" t="s">
        <v>2110</v>
      </c>
      <c r="D112" s="2">
        <v>2</v>
      </c>
      <c r="E112" s="2" t="s">
        <v>115</v>
      </c>
      <c r="F112" s="2" t="s">
        <v>2154</v>
      </c>
    </row>
    <row r="113" spans="1:6" ht="15" customHeight="1" x14ac:dyDescent="0.3">
      <c r="A113" s="2" t="s">
        <v>663</v>
      </c>
      <c r="B113" s="2" t="s">
        <v>664</v>
      </c>
      <c r="C113" s="2" t="s">
        <v>640</v>
      </c>
      <c r="D113" s="2">
        <v>3</v>
      </c>
      <c r="E113" s="2" t="s">
        <v>115</v>
      </c>
      <c r="F113" s="2" t="s">
        <v>2154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8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32" customWidth="1"/>
    <col min="3" max="3" width="11" customWidth="1"/>
    <col min="4" max="4" width="10" customWidth="1"/>
    <col min="5" max="5" width="12" customWidth="1"/>
    <col min="6" max="6" width="13" customWidth="1"/>
  </cols>
  <sheetData>
    <row r="1" spans="1:6" ht="34.5" customHeight="1" x14ac:dyDescent="0.3">
      <c r="A1" s="3" t="s">
        <v>2155</v>
      </c>
      <c r="B1" s="3" t="s">
        <v>35</v>
      </c>
      <c r="C1" s="3" t="s">
        <v>2156</v>
      </c>
      <c r="D1" s="3" t="s">
        <v>37</v>
      </c>
      <c r="E1" s="3" t="s">
        <v>2157</v>
      </c>
      <c r="F1" s="3" t="s">
        <v>2158</v>
      </c>
    </row>
    <row r="2" spans="1:6" ht="15" customHeight="1" x14ac:dyDescent="0.3">
      <c r="A2" s="2" t="s">
        <v>2159</v>
      </c>
      <c r="B2" s="2" t="s">
        <v>2160</v>
      </c>
      <c r="C2" s="2" t="s">
        <v>920</v>
      </c>
      <c r="D2" s="4">
        <v>7</v>
      </c>
      <c r="E2" s="11">
        <v>5000000</v>
      </c>
      <c r="F2" s="6">
        <f t="shared" ref="F2:F16" si="0">D2*E2/1000000</f>
        <v>35</v>
      </c>
    </row>
    <row r="3" spans="1:6" ht="15" customHeight="1" x14ac:dyDescent="0.3">
      <c r="A3" s="2" t="s">
        <v>2161</v>
      </c>
      <c r="B3" s="2" t="s">
        <v>2162</v>
      </c>
      <c r="C3" s="2" t="s">
        <v>66</v>
      </c>
      <c r="D3" s="4">
        <v>20</v>
      </c>
      <c r="E3" s="11">
        <v>4000000</v>
      </c>
      <c r="F3" s="6">
        <f t="shared" si="0"/>
        <v>80</v>
      </c>
    </row>
    <row r="4" spans="1:6" ht="15" customHeight="1" x14ac:dyDescent="0.3">
      <c r="A4" s="2" t="s">
        <v>2163</v>
      </c>
      <c r="B4" s="2" t="s">
        <v>2164</v>
      </c>
      <c r="C4" s="2" t="s">
        <v>1730</v>
      </c>
      <c r="D4" s="4">
        <v>10</v>
      </c>
      <c r="E4" s="11">
        <v>281000</v>
      </c>
      <c r="F4" s="6">
        <f t="shared" si="0"/>
        <v>2.81</v>
      </c>
    </row>
    <row r="5" spans="1:6" ht="15" customHeight="1" x14ac:dyDescent="0.3">
      <c r="A5" s="2" t="s">
        <v>2165</v>
      </c>
      <c r="B5" s="2" t="s">
        <v>2166</v>
      </c>
      <c r="C5" s="2" t="s">
        <v>1882</v>
      </c>
      <c r="D5" s="4">
        <v>12.5</v>
      </c>
      <c r="E5" s="11">
        <v>5600000</v>
      </c>
      <c r="F5" s="6">
        <f t="shared" si="0"/>
        <v>70</v>
      </c>
    </row>
    <row r="6" spans="1:6" ht="15" customHeight="1" x14ac:dyDescent="0.3">
      <c r="A6" s="2" t="s">
        <v>2167</v>
      </c>
      <c r="B6" s="2" t="s">
        <v>2168</v>
      </c>
      <c r="C6" s="2" t="s">
        <v>1605</v>
      </c>
      <c r="D6" s="4">
        <v>12</v>
      </c>
      <c r="E6" s="11">
        <v>20000000</v>
      </c>
      <c r="F6" s="6">
        <f t="shared" si="0"/>
        <v>240</v>
      </c>
    </row>
    <row r="7" spans="1:6" ht="15" customHeight="1" x14ac:dyDescent="0.3">
      <c r="A7" s="2" t="s">
        <v>2169</v>
      </c>
      <c r="B7" s="2" t="s">
        <v>2170</v>
      </c>
      <c r="C7" s="2" t="s">
        <v>1337</v>
      </c>
      <c r="D7" s="4">
        <v>18</v>
      </c>
      <c r="E7" s="11">
        <v>7000000</v>
      </c>
      <c r="F7" s="6">
        <f t="shared" si="0"/>
        <v>126</v>
      </c>
    </row>
    <row r="8" spans="1:6" ht="15" customHeight="1" x14ac:dyDescent="0.3">
      <c r="A8" s="2" t="s">
        <v>2171</v>
      </c>
      <c r="B8" s="2" t="s">
        <v>2172</v>
      </c>
      <c r="C8" s="2" t="s">
        <v>1958</v>
      </c>
      <c r="D8" s="4">
        <v>8.5</v>
      </c>
      <c r="E8" s="11">
        <v>388300</v>
      </c>
      <c r="F8" s="6">
        <f t="shared" si="0"/>
        <v>3.3005499999999999</v>
      </c>
    </row>
    <row r="9" spans="1:6" ht="15" customHeight="1" x14ac:dyDescent="0.3">
      <c r="A9" s="2" t="s">
        <v>2173</v>
      </c>
      <c r="B9" s="2" t="s">
        <v>2174</v>
      </c>
      <c r="C9" s="2" t="s">
        <v>707</v>
      </c>
      <c r="D9" s="4">
        <v>10</v>
      </c>
      <c r="E9" s="11">
        <v>7700000</v>
      </c>
      <c r="F9" s="6">
        <f t="shared" si="0"/>
        <v>77</v>
      </c>
    </row>
    <row r="10" spans="1:6" ht="15" customHeight="1" x14ac:dyDescent="0.3">
      <c r="A10" s="2" t="s">
        <v>2175</v>
      </c>
      <c r="B10" s="2" t="s">
        <v>2176</v>
      </c>
      <c r="C10" s="2" t="s">
        <v>1798</v>
      </c>
      <c r="D10" s="4">
        <v>11</v>
      </c>
      <c r="E10" s="11">
        <v>6364000</v>
      </c>
      <c r="F10" s="6">
        <f t="shared" si="0"/>
        <v>70.004000000000005</v>
      </c>
    </row>
    <row r="11" spans="1:6" ht="15" customHeight="1" x14ac:dyDescent="0.3">
      <c r="A11" s="2" t="s">
        <v>2177</v>
      </c>
      <c r="B11" s="2" t="s">
        <v>2178</v>
      </c>
      <c r="C11" s="2" t="s">
        <v>1969</v>
      </c>
      <c r="D11" s="4">
        <v>7</v>
      </c>
      <c r="E11" s="11">
        <v>10000000</v>
      </c>
      <c r="F11" s="6">
        <f t="shared" si="0"/>
        <v>70</v>
      </c>
    </row>
    <row r="12" spans="1:6" ht="15" customHeight="1" x14ac:dyDescent="0.3">
      <c r="A12" s="2" t="s">
        <v>2179</v>
      </c>
      <c r="B12" s="2" t="s">
        <v>2180</v>
      </c>
      <c r="C12" s="2" t="s">
        <v>784</v>
      </c>
      <c r="D12" s="4">
        <v>10</v>
      </c>
      <c r="E12" s="11">
        <v>7442820</v>
      </c>
      <c r="F12" s="6">
        <f t="shared" si="0"/>
        <v>74.428200000000004</v>
      </c>
    </row>
    <row r="13" spans="1:6" ht="15" customHeight="1" x14ac:dyDescent="0.3">
      <c r="A13" s="2" t="s">
        <v>2181</v>
      </c>
      <c r="B13" s="2" t="s">
        <v>2182</v>
      </c>
      <c r="C13" s="2" t="s">
        <v>999</v>
      </c>
      <c r="D13" s="4">
        <v>15</v>
      </c>
      <c r="E13" s="11">
        <v>28170000</v>
      </c>
      <c r="F13" s="6">
        <f t="shared" si="0"/>
        <v>422.55</v>
      </c>
    </row>
    <row r="14" spans="1:6" ht="15" customHeight="1" x14ac:dyDescent="0.3">
      <c r="A14" s="2" t="s">
        <v>2183</v>
      </c>
      <c r="B14" s="2" t="s">
        <v>2184</v>
      </c>
      <c r="C14" s="2" t="s">
        <v>244</v>
      </c>
      <c r="D14" s="4">
        <v>35</v>
      </c>
      <c r="E14" s="11">
        <v>4100000</v>
      </c>
      <c r="F14" s="6">
        <f t="shared" si="0"/>
        <v>143.5</v>
      </c>
    </row>
    <row r="15" spans="1:6" ht="15" customHeight="1" x14ac:dyDescent="0.3">
      <c r="A15" s="2" t="s">
        <v>2185</v>
      </c>
      <c r="B15" s="2" t="s">
        <v>2186</v>
      </c>
      <c r="C15" s="2" t="s">
        <v>1432</v>
      </c>
      <c r="D15" s="4">
        <v>12</v>
      </c>
      <c r="E15" s="11">
        <v>5000000</v>
      </c>
      <c r="F15" s="6">
        <f t="shared" si="0"/>
        <v>60</v>
      </c>
    </row>
    <row r="16" spans="1:6" ht="15" customHeight="1" x14ac:dyDescent="0.3">
      <c r="A16" s="2" t="s">
        <v>2187</v>
      </c>
      <c r="B16" s="2" t="s">
        <v>2188</v>
      </c>
      <c r="C16" s="2" t="s">
        <v>553</v>
      </c>
      <c r="D16" s="4">
        <v>33.880000000000003</v>
      </c>
      <c r="E16" s="11">
        <v>2500000</v>
      </c>
      <c r="F16" s="6">
        <f t="shared" si="0"/>
        <v>84.7</v>
      </c>
    </row>
    <row r="17" spans="1:6" ht="15" customHeight="1" x14ac:dyDescent="0.3">
      <c r="A17" s="2" t="s">
        <v>2189</v>
      </c>
      <c r="B17" s="2" t="s">
        <v>2190</v>
      </c>
      <c r="C17" s="2" t="s">
        <v>2138</v>
      </c>
    </row>
    <row r="18" spans="1:6" ht="15" customHeight="1" x14ac:dyDescent="0.3">
      <c r="A18" s="2" t="s">
        <v>2191</v>
      </c>
      <c r="B18" s="2" t="s">
        <v>2192</v>
      </c>
      <c r="C18" s="2" t="s">
        <v>2193</v>
      </c>
      <c r="D18" s="4">
        <v>10</v>
      </c>
      <c r="E18" s="11">
        <v>357000</v>
      </c>
      <c r="F18" s="6">
        <f>D18*E18/1000000</f>
        <v>3.57</v>
      </c>
    </row>
    <row r="19" spans="1:6" ht="15" customHeight="1" x14ac:dyDescent="0.3">
      <c r="A19" s="2" t="s">
        <v>2194</v>
      </c>
      <c r="B19" s="2" t="s">
        <v>2195</v>
      </c>
      <c r="C19" s="2" t="s">
        <v>82</v>
      </c>
      <c r="D19" s="4">
        <v>13</v>
      </c>
      <c r="E19" s="11">
        <v>1500000</v>
      </c>
      <c r="F19" s="6">
        <f>D19*E19/1000000</f>
        <v>19.5</v>
      </c>
    </row>
    <row r="20" spans="1:6" ht="15" customHeight="1" x14ac:dyDescent="0.3">
      <c r="A20" s="2" t="s">
        <v>2196</v>
      </c>
      <c r="B20" s="2" t="s">
        <v>2197</v>
      </c>
      <c r="C20" s="2" t="s">
        <v>392</v>
      </c>
      <c r="D20" s="4">
        <v>24</v>
      </c>
      <c r="E20" s="11">
        <v>5250000</v>
      </c>
      <c r="F20" s="6">
        <f>D20*E20/1000000</f>
        <v>126</v>
      </c>
    </row>
    <row r="21" spans="1:6" ht="15" customHeight="1" x14ac:dyDescent="0.3">
      <c r="A21" s="2" t="s">
        <v>2198</v>
      </c>
      <c r="B21" s="2" t="s">
        <v>2199</v>
      </c>
      <c r="C21" s="2" t="s">
        <v>1875</v>
      </c>
    </row>
    <row r="22" spans="1:6" ht="15" customHeight="1" x14ac:dyDescent="0.3">
      <c r="A22" s="2" t="s">
        <v>2200</v>
      </c>
      <c r="B22" s="2" t="s">
        <v>2201</v>
      </c>
      <c r="C22" s="2" t="s">
        <v>1141</v>
      </c>
      <c r="D22" s="4">
        <v>10</v>
      </c>
      <c r="E22" s="11">
        <v>7105330</v>
      </c>
      <c r="F22" s="6">
        <f>D22*E22/1000000</f>
        <v>71.053299999999993</v>
      </c>
    </row>
    <row r="23" spans="1:6" ht="15" customHeight="1" x14ac:dyDescent="0.3">
      <c r="A23" s="2" t="s">
        <v>2202</v>
      </c>
      <c r="B23" s="2" t="s">
        <v>2203</v>
      </c>
      <c r="C23" s="2" t="s">
        <v>1990</v>
      </c>
      <c r="D23" s="4">
        <v>10</v>
      </c>
      <c r="E23" s="11">
        <v>6100000</v>
      </c>
      <c r="F23" s="6">
        <f>D23*E23/1000000</f>
        <v>61</v>
      </c>
    </row>
    <row r="24" spans="1:6" ht="15" customHeight="1" x14ac:dyDescent="0.3">
      <c r="A24" s="2" t="s">
        <v>2204</v>
      </c>
      <c r="B24" s="2" t="s">
        <v>2205</v>
      </c>
      <c r="C24" s="2" t="s">
        <v>1337</v>
      </c>
      <c r="D24" s="4">
        <v>36</v>
      </c>
      <c r="E24" s="11">
        <v>31625000</v>
      </c>
      <c r="F24" s="6">
        <f>D24*E24/1000000</f>
        <v>1138.5</v>
      </c>
    </row>
    <row r="25" spans="1:6" ht="15" customHeight="1" x14ac:dyDescent="0.3">
      <c r="A25" s="2" t="s">
        <v>2206</v>
      </c>
      <c r="B25" s="2" t="s">
        <v>2207</v>
      </c>
      <c r="C25" s="2" t="s">
        <v>1202</v>
      </c>
      <c r="D25" s="4">
        <v>9</v>
      </c>
      <c r="E25" s="11">
        <v>14285000</v>
      </c>
      <c r="F25" s="6">
        <f>D25*E25/1000000</f>
        <v>128.565</v>
      </c>
    </row>
    <row r="26" spans="1:6" ht="15" customHeight="1" x14ac:dyDescent="0.3">
      <c r="A26" s="2" t="s">
        <v>2208</v>
      </c>
      <c r="B26" s="2" t="s">
        <v>2209</v>
      </c>
      <c r="C26" s="2" t="s">
        <v>728</v>
      </c>
      <c r="D26" s="4">
        <v>8</v>
      </c>
      <c r="E26" s="11">
        <v>858550</v>
      </c>
      <c r="F26" s="6">
        <f>D26*E26/1000000</f>
        <v>6.8684000000000003</v>
      </c>
    </row>
    <row r="27" spans="1:6" ht="15" customHeight="1" x14ac:dyDescent="0.3">
      <c r="A27" s="2" t="s">
        <v>2210</v>
      </c>
      <c r="B27" s="2" t="s">
        <v>2211</v>
      </c>
      <c r="C27" s="2" t="s">
        <v>2054</v>
      </c>
    </row>
    <row r="28" spans="1:6" ht="15" customHeight="1" x14ac:dyDescent="0.3">
      <c r="A28" s="2" t="s">
        <v>2212</v>
      </c>
      <c r="B28" s="2" t="s">
        <v>2213</v>
      </c>
      <c r="C28" s="2" t="s">
        <v>2103</v>
      </c>
      <c r="D28" s="4">
        <v>5.0999999999999996</v>
      </c>
      <c r="E28" s="11">
        <v>550000</v>
      </c>
      <c r="F28" s="6">
        <f t="shared" ref="F28:F45" si="1">D28*E28/1000000</f>
        <v>2.8050000000000002</v>
      </c>
    </row>
    <row r="29" spans="1:6" ht="15" customHeight="1" x14ac:dyDescent="0.3">
      <c r="A29" s="2" t="s">
        <v>2214</v>
      </c>
      <c r="B29" s="2" t="s">
        <v>2215</v>
      </c>
      <c r="C29" s="2" t="s">
        <v>347</v>
      </c>
      <c r="D29" s="4">
        <v>7</v>
      </c>
      <c r="E29" s="11">
        <v>1000000</v>
      </c>
      <c r="F29" s="6">
        <f t="shared" si="1"/>
        <v>7</v>
      </c>
    </row>
    <row r="30" spans="1:6" ht="15" customHeight="1" x14ac:dyDescent="0.3">
      <c r="A30" s="2" t="s">
        <v>2216</v>
      </c>
      <c r="B30" s="2" t="s">
        <v>2217</v>
      </c>
      <c r="C30" s="2" t="s">
        <v>784</v>
      </c>
      <c r="D30" s="4">
        <v>10</v>
      </c>
      <c r="E30" s="11">
        <v>556328</v>
      </c>
      <c r="F30" s="6">
        <f t="shared" si="1"/>
        <v>5.5632799999999998</v>
      </c>
    </row>
    <row r="31" spans="1:6" ht="15" customHeight="1" x14ac:dyDescent="0.3">
      <c r="A31" s="2" t="s">
        <v>2218</v>
      </c>
      <c r="B31" s="2" t="s">
        <v>2219</v>
      </c>
      <c r="C31" s="2" t="s">
        <v>2037</v>
      </c>
      <c r="D31" s="4">
        <v>7</v>
      </c>
      <c r="E31" s="11">
        <v>3445000</v>
      </c>
      <c r="F31" s="6">
        <f t="shared" si="1"/>
        <v>24.114999999999998</v>
      </c>
    </row>
    <row r="32" spans="1:6" ht="15" customHeight="1" x14ac:dyDescent="0.3">
      <c r="A32" s="2" t="s">
        <v>2220</v>
      </c>
      <c r="B32" s="2" t="s">
        <v>2221</v>
      </c>
      <c r="C32" s="2" t="s">
        <v>574</v>
      </c>
      <c r="D32" s="4">
        <v>11</v>
      </c>
      <c r="E32" s="11">
        <v>6250000</v>
      </c>
      <c r="F32" s="6">
        <f t="shared" si="1"/>
        <v>68.75</v>
      </c>
    </row>
    <row r="33" spans="1:6" ht="15" customHeight="1" x14ac:dyDescent="0.3">
      <c r="A33" s="2" t="s">
        <v>2222</v>
      </c>
      <c r="B33" s="2" t="s">
        <v>2223</v>
      </c>
      <c r="C33" s="2" t="s">
        <v>1170</v>
      </c>
      <c r="D33" s="4">
        <v>12</v>
      </c>
      <c r="E33" s="11">
        <v>4000000</v>
      </c>
      <c r="F33" s="6">
        <f t="shared" si="1"/>
        <v>48</v>
      </c>
    </row>
    <row r="34" spans="1:6" ht="15" customHeight="1" x14ac:dyDescent="0.3">
      <c r="A34" s="2" t="s">
        <v>2224</v>
      </c>
      <c r="B34" s="2" t="s">
        <v>2225</v>
      </c>
      <c r="C34" s="2" t="s">
        <v>1798</v>
      </c>
      <c r="D34" s="4">
        <v>16</v>
      </c>
      <c r="E34" s="11">
        <v>5000000</v>
      </c>
      <c r="F34" s="6">
        <f t="shared" si="1"/>
        <v>80</v>
      </c>
    </row>
    <row r="35" spans="1:6" ht="15" customHeight="1" x14ac:dyDescent="0.3">
      <c r="A35" s="2" t="s">
        <v>2226</v>
      </c>
      <c r="B35" s="2" t="s">
        <v>2227</v>
      </c>
      <c r="C35" s="2" t="s">
        <v>529</v>
      </c>
      <c r="D35" s="4">
        <v>9</v>
      </c>
      <c r="E35" s="11">
        <v>1000000</v>
      </c>
      <c r="F35" s="6">
        <f t="shared" si="1"/>
        <v>9</v>
      </c>
    </row>
    <row r="36" spans="1:6" ht="15" customHeight="1" x14ac:dyDescent="0.3">
      <c r="A36" s="2" t="s">
        <v>2228</v>
      </c>
      <c r="B36" s="2" t="s">
        <v>2229</v>
      </c>
      <c r="C36" s="2" t="s">
        <v>1605</v>
      </c>
      <c r="D36" s="4">
        <v>7</v>
      </c>
      <c r="E36" s="11">
        <v>5000000</v>
      </c>
      <c r="F36" s="6">
        <f t="shared" si="1"/>
        <v>35</v>
      </c>
    </row>
    <row r="37" spans="1:6" ht="15" customHeight="1" x14ac:dyDescent="0.3">
      <c r="A37" s="2" t="s">
        <v>2230</v>
      </c>
      <c r="B37" s="2" t="s">
        <v>2231</v>
      </c>
      <c r="C37" s="2" t="s">
        <v>679</v>
      </c>
      <c r="D37" s="4">
        <v>10</v>
      </c>
      <c r="E37" s="11">
        <v>1190000</v>
      </c>
      <c r="F37" s="6">
        <f t="shared" si="1"/>
        <v>11.9</v>
      </c>
    </row>
    <row r="38" spans="1:6" ht="15" customHeight="1" x14ac:dyDescent="0.3">
      <c r="A38" s="2" t="s">
        <v>2232</v>
      </c>
      <c r="B38" s="2" t="s">
        <v>2233</v>
      </c>
      <c r="C38" s="2" t="s">
        <v>1882</v>
      </c>
      <c r="D38" s="4">
        <v>8</v>
      </c>
      <c r="E38" s="11">
        <v>1250000</v>
      </c>
      <c r="F38" s="6">
        <f t="shared" si="1"/>
        <v>10</v>
      </c>
    </row>
    <row r="39" spans="1:6" ht="15" customHeight="1" x14ac:dyDescent="0.3">
      <c r="A39" s="2" t="s">
        <v>2234</v>
      </c>
      <c r="B39" s="2" t="s">
        <v>2235</v>
      </c>
      <c r="C39" s="2" t="s">
        <v>1397</v>
      </c>
      <c r="D39" s="4">
        <v>7.5</v>
      </c>
      <c r="E39" s="11">
        <v>3000000</v>
      </c>
      <c r="F39" s="6">
        <f t="shared" si="1"/>
        <v>22.5</v>
      </c>
    </row>
    <row r="40" spans="1:6" ht="15" customHeight="1" x14ac:dyDescent="0.3">
      <c r="A40" s="2" t="s">
        <v>2236</v>
      </c>
      <c r="B40" s="2" t="s">
        <v>2237</v>
      </c>
      <c r="C40" s="2" t="s">
        <v>1312</v>
      </c>
      <c r="D40" s="4">
        <v>8</v>
      </c>
      <c r="E40" s="11">
        <v>7000000</v>
      </c>
      <c r="F40" s="6">
        <f t="shared" si="1"/>
        <v>56</v>
      </c>
    </row>
    <row r="41" spans="1:6" ht="15" customHeight="1" x14ac:dyDescent="0.3">
      <c r="A41" s="2" t="s">
        <v>2238</v>
      </c>
      <c r="B41" s="2" t="s">
        <v>2239</v>
      </c>
      <c r="C41" s="2" t="s">
        <v>409</v>
      </c>
      <c r="D41" s="4">
        <v>10</v>
      </c>
      <c r="E41" s="11">
        <v>10400000</v>
      </c>
      <c r="F41" s="6">
        <f t="shared" si="1"/>
        <v>104</v>
      </c>
    </row>
    <row r="42" spans="1:6" ht="15" customHeight="1" x14ac:dyDescent="0.3">
      <c r="A42" s="2" t="s">
        <v>2240</v>
      </c>
      <c r="B42" s="2" t="s">
        <v>2241</v>
      </c>
      <c r="C42" s="2" t="s">
        <v>887</v>
      </c>
      <c r="D42" s="4">
        <v>12</v>
      </c>
      <c r="E42" s="11">
        <v>4000000</v>
      </c>
      <c r="F42" s="6">
        <f t="shared" si="1"/>
        <v>48</v>
      </c>
    </row>
    <row r="43" spans="1:6" ht="15" customHeight="1" x14ac:dyDescent="0.3">
      <c r="A43" s="2" t="s">
        <v>2242</v>
      </c>
      <c r="B43" s="2" t="s">
        <v>2243</v>
      </c>
      <c r="C43" s="2" t="s">
        <v>578</v>
      </c>
      <c r="D43" s="4">
        <v>14</v>
      </c>
      <c r="E43" s="11">
        <v>5000000</v>
      </c>
      <c r="F43" s="6">
        <f t="shared" si="1"/>
        <v>70</v>
      </c>
    </row>
    <row r="44" spans="1:6" ht="15" customHeight="1" x14ac:dyDescent="0.3">
      <c r="A44" s="2" t="s">
        <v>2244</v>
      </c>
      <c r="B44" s="2" t="s">
        <v>2245</v>
      </c>
      <c r="C44" s="2" t="s">
        <v>553</v>
      </c>
      <c r="D44" s="4">
        <v>18</v>
      </c>
      <c r="E44" s="11">
        <v>8000000</v>
      </c>
      <c r="F44" s="6">
        <f t="shared" si="1"/>
        <v>144</v>
      </c>
    </row>
    <row r="45" spans="1:6" ht="15" customHeight="1" x14ac:dyDescent="0.3">
      <c r="A45" s="2" t="s">
        <v>2246</v>
      </c>
      <c r="B45" s="2" t="s">
        <v>2247</v>
      </c>
      <c r="C45" s="2" t="s">
        <v>1041</v>
      </c>
      <c r="D45" s="4">
        <v>8</v>
      </c>
      <c r="E45" s="11">
        <v>1300000</v>
      </c>
      <c r="F45" s="6">
        <f t="shared" si="1"/>
        <v>10.4</v>
      </c>
    </row>
    <row r="46" spans="1:6" ht="15" customHeight="1" x14ac:dyDescent="0.3">
      <c r="A46" s="2" t="s">
        <v>2248</v>
      </c>
      <c r="B46" s="2" t="s">
        <v>2249</v>
      </c>
      <c r="C46" s="2" t="s">
        <v>2250</v>
      </c>
    </row>
    <row r="47" spans="1:6" ht="15" customHeight="1" x14ac:dyDescent="0.3">
      <c r="A47" s="2" t="s">
        <v>2251</v>
      </c>
      <c r="B47" s="2" t="s">
        <v>2252</v>
      </c>
      <c r="C47" s="2" t="s">
        <v>2253</v>
      </c>
      <c r="D47" s="4">
        <v>21</v>
      </c>
      <c r="E47" s="11">
        <v>1500000</v>
      </c>
      <c r="F47" s="6">
        <f>D47*E47/1000000</f>
        <v>31.5</v>
      </c>
    </row>
    <row r="48" spans="1:6" ht="15" customHeight="1" x14ac:dyDescent="0.3">
      <c r="A48" s="2" t="s">
        <v>2254</v>
      </c>
      <c r="B48" s="2" t="s">
        <v>2255</v>
      </c>
      <c r="C48" s="2" t="s">
        <v>314</v>
      </c>
      <c r="D48" s="4">
        <v>10</v>
      </c>
      <c r="E48" s="11">
        <v>1581370</v>
      </c>
      <c r="F48" s="6">
        <f>D48*E48/1000000</f>
        <v>15.813700000000001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b8dec6b4-efc3-484f-96ca-de2c8e72a9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Master_2000</vt:lpstr>
      <vt:lpstr>Remaining_Gaps</vt:lpstr>
      <vt:lpstr>Screen_Unclaimed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Gavin Walsh</cp:lastModifiedBy>
  <cp:revision>0</cp:revision>
  <dcterms:created xsi:type="dcterms:W3CDTF">2026-07-21T16:16:25Z</dcterms:created>
  <dcterms:modified xsi:type="dcterms:W3CDTF">2026-07-21T16:20:34Z</dcterms:modified>
  <dc:language>en-US</dc:language>
</cp:coreProperties>
</file>