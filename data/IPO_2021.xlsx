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volatileDependencies.xml" ContentType="application/vnd.openxmlformats-officedocument.spreadsheetml.volatileDependenc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gavin.AVOS-LP-GAVIN\Documents\Avos\Code\market-conditions-dashboard\data\"/>
    </mc:Choice>
  </mc:AlternateContent>
  <xr:revisionPtr revIDLastSave="0" documentId="8_{DBDD3742-35F3-4008-96B6-E7C6F69877CF}" xr6:coauthVersionLast="47" xr6:coauthVersionMax="47" xr10:uidLastSave="{00000000-0000-0000-0000-000000000000}"/>
  <bookViews>
    <workbookView xWindow="62145" yWindow="6270" windowWidth="17280" windowHeight="1011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35" i="1" l="1"/>
  <c r="I408" i="1"/>
  <c r="I200" i="1"/>
  <c r="H299" i="1"/>
  <c r="I141" i="1"/>
  <c r="H112" i="1"/>
  <c r="I71" i="1"/>
  <c r="H399" i="1"/>
  <c r="I140" i="1"/>
  <c r="H55" i="1"/>
  <c r="H141" i="1"/>
  <c r="I112" i="1"/>
  <c r="I55" i="1"/>
  <c r="I235" i="1"/>
  <c r="H140" i="1"/>
  <c r="H200" i="1"/>
  <c r="H71" i="1"/>
  <c r="I399" i="1"/>
  <c r="H408" i="1"/>
  <c r="I299" i="1"/>
  <c r="I7" i="1"/>
  <c r="I217" i="1"/>
  <c r="I315" i="1"/>
  <c r="H231" i="1"/>
  <c r="I286" i="1"/>
  <c r="H189" i="1"/>
  <c r="I374" i="1"/>
  <c r="I319" i="1"/>
  <c r="I416" i="1"/>
  <c r="I305" i="1"/>
  <c r="H374" i="1"/>
  <c r="H286" i="1"/>
  <c r="I189" i="1"/>
  <c r="I231" i="1"/>
  <c r="H305" i="1"/>
  <c r="H7" i="1"/>
  <c r="H315" i="1"/>
  <c r="H217" i="1"/>
  <c r="H319" i="1"/>
  <c r="H416" i="1"/>
  <c r="H387" i="1"/>
  <c r="I36" i="1"/>
  <c r="H349" i="1"/>
  <c r="I57" i="1"/>
  <c r="H158" i="1"/>
  <c r="H113" i="1"/>
  <c r="I208" i="1"/>
  <c r="I349" i="1"/>
  <c r="H57" i="1"/>
  <c r="I348" i="1"/>
  <c r="I328" i="1"/>
  <c r="I113" i="1"/>
  <c r="H348" i="1"/>
  <c r="H328" i="1"/>
  <c r="I283" i="1"/>
  <c r="I158" i="1"/>
  <c r="I387" i="1"/>
  <c r="H283" i="1"/>
  <c r="H208" i="1"/>
  <c r="H36" i="1"/>
  <c r="I27" i="1"/>
  <c r="I182" i="1"/>
  <c r="I143" i="1"/>
  <c r="H187" i="1"/>
  <c r="I276" i="1"/>
  <c r="H63" i="1"/>
  <c r="H424" i="1"/>
  <c r="I187" i="1"/>
  <c r="I260" i="1"/>
  <c r="I424" i="1"/>
  <c r="H276" i="1"/>
  <c r="H143" i="1"/>
  <c r="H131" i="1"/>
  <c r="I131" i="1"/>
  <c r="H433" i="1"/>
  <c r="H27" i="1"/>
  <c r="I433" i="1"/>
  <c r="I63" i="1"/>
  <c r="H182" i="1"/>
  <c r="H260" i="1"/>
  <c r="H53" i="1"/>
  <c r="I53" i="1"/>
  <c r="I33" i="1"/>
  <c r="I196" i="1"/>
  <c r="I178" i="1"/>
  <c r="H181" i="1"/>
  <c r="I181" i="1"/>
  <c r="H178" i="1"/>
  <c r="H196" i="1"/>
  <c r="H33" i="1"/>
  <c r="I280" i="1"/>
  <c r="H302" i="1"/>
  <c r="H419" i="1"/>
  <c r="I277" i="1"/>
  <c r="H291" i="1"/>
  <c r="H116" i="1"/>
  <c r="H314" i="1"/>
  <c r="I59" i="1"/>
  <c r="I419" i="1"/>
  <c r="H280" i="1"/>
  <c r="H277" i="1"/>
  <c r="I302" i="1"/>
  <c r="I176" i="1"/>
  <c r="I314" i="1"/>
  <c r="I116" i="1"/>
  <c r="I338" i="1"/>
  <c r="H338" i="1"/>
  <c r="H176" i="1"/>
  <c r="H59" i="1"/>
  <c r="I291" i="1"/>
  <c r="I153" i="1"/>
  <c r="H248" i="1"/>
  <c r="H388" i="1"/>
  <c r="I272" i="1"/>
  <c r="I62" i="1"/>
  <c r="I155" i="1"/>
  <c r="I375" i="1"/>
  <c r="I414" i="1"/>
  <c r="H429" i="1"/>
  <c r="H406" i="1"/>
  <c r="I248" i="1"/>
  <c r="I406" i="1"/>
  <c r="H272" i="1"/>
  <c r="H153" i="1"/>
  <c r="H62" i="1"/>
  <c r="H414" i="1"/>
  <c r="I429" i="1"/>
  <c r="H155" i="1"/>
  <c r="H375" i="1"/>
  <c r="I388" i="1"/>
  <c r="H350" i="1"/>
  <c r="H382" i="1"/>
  <c r="H325" i="1"/>
  <c r="H41" i="1"/>
  <c r="I69" i="1"/>
  <c r="I150" i="1"/>
  <c r="H87" i="1"/>
  <c r="I300" i="1"/>
  <c r="H288" i="1"/>
  <c r="H150" i="1"/>
  <c r="I139" i="1"/>
  <c r="I325" i="1"/>
  <c r="I87" i="1"/>
  <c r="I288" i="1"/>
  <c r="H300" i="1"/>
  <c r="I382" i="1"/>
  <c r="I41" i="1"/>
  <c r="I350" i="1"/>
  <c r="H139" i="1"/>
  <c r="H69" i="1"/>
  <c r="H295" i="1"/>
  <c r="H226" i="1"/>
  <c r="I80" i="1"/>
  <c r="I115" i="1"/>
  <c r="I51" i="1"/>
  <c r="I101" i="1"/>
  <c r="H174" i="1"/>
  <c r="H115" i="1"/>
  <c r="I417" i="1"/>
  <c r="H169" i="1"/>
  <c r="I295" i="1"/>
  <c r="H101" i="1"/>
  <c r="I266" i="1"/>
  <c r="H80" i="1"/>
  <c r="H266" i="1"/>
  <c r="H417" i="1"/>
  <c r="H51" i="1"/>
  <c r="I169" i="1"/>
  <c r="I174" i="1"/>
  <c r="I226" i="1"/>
  <c r="I285" i="1"/>
  <c r="I434" i="1"/>
  <c r="H312" i="1"/>
  <c r="H52" i="1"/>
  <c r="H385" i="1"/>
  <c r="H318" i="1"/>
  <c r="H191" i="1"/>
  <c r="I213" i="1"/>
  <c r="H390" i="1"/>
  <c r="I90" i="1"/>
  <c r="H285" i="1"/>
  <c r="H434" i="1"/>
  <c r="H213" i="1"/>
  <c r="I318" i="1"/>
  <c r="H90" i="1"/>
  <c r="I191" i="1"/>
  <c r="I52" i="1"/>
  <c r="I385" i="1"/>
  <c r="I312" i="1"/>
  <c r="I390" i="1"/>
  <c r="H125" i="1"/>
  <c r="I232" i="1"/>
  <c r="H83" i="1"/>
  <c r="H100" i="1"/>
  <c r="I104" i="1"/>
  <c r="I220" i="1"/>
  <c r="I432" i="1"/>
  <c r="I271" i="1"/>
  <c r="I83" i="1"/>
  <c r="I117" i="1"/>
  <c r="H48" i="1"/>
  <c r="H104" i="1"/>
  <c r="I125" i="1"/>
  <c r="H271" i="1"/>
  <c r="H220" i="1"/>
  <c r="H117" i="1"/>
  <c r="I100" i="1"/>
  <c r="H432" i="1"/>
  <c r="I48" i="1"/>
  <c r="H232" i="1"/>
  <c r="I50" i="1"/>
  <c r="H77" i="1"/>
  <c r="I222" i="1"/>
  <c r="I420" i="1"/>
  <c r="I186" i="1"/>
  <c r="I204" i="1"/>
  <c r="I75" i="1"/>
  <c r="I159" i="1"/>
  <c r="H13" i="1"/>
  <c r="H360" i="1"/>
  <c r="I360" i="1"/>
  <c r="H75" i="1"/>
  <c r="H420" i="1"/>
  <c r="H222" i="1"/>
  <c r="I77" i="1"/>
  <c r="H50" i="1"/>
  <c r="I13" i="1"/>
  <c r="H204" i="1"/>
  <c r="H159" i="1"/>
  <c r="H186" i="1"/>
  <c r="I111" i="1"/>
  <c r="I339" i="1"/>
  <c r="I267" i="1"/>
  <c r="H326" i="1"/>
  <c r="I240" i="1"/>
  <c r="H354" i="1"/>
  <c r="H347" i="1"/>
  <c r="I42" i="1"/>
  <c r="H26" i="1"/>
  <c r="H436" i="1"/>
  <c r="I354" i="1"/>
  <c r="I436" i="1"/>
  <c r="H240" i="1"/>
  <c r="H267" i="1"/>
  <c r="I326" i="1"/>
  <c r="I347" i="1"/>
  <c r="I26" i="1"/>
  <c r="H42" i="1"/>
  <c r="H339" i="1"/>
  <c r="H111" i="1"/>
  <c r="I307" i="1"/>
  <c r="I109" i="1"/>
  <c r="H356" i="1"/>
  <c r="H313" i="1"/>
  <c r="I403" i="1"/>
  <c r="H190" i="1"/>
  <c r="I207" i="1"/>
  <c r="H395" i="1"/>
  <c r="I17" i="1"/>
  <c r="H257" i="1"/>
  <c r="I190" i="1"/>
  <c r="H403" i="1"/>
  <c r="H109" i="1"/>
  <c r="H307" i="1"/>
  <c r="I395" i="1"/>
  <c r="I313" i="1"/>
  <c r="H207" i="1"/>
  <c r="I257" i="1"/>
  <c r="I356" i="1"/>
  <c r="H17" i="1"/>
  <c r="H251" i="1"/>
  <c r="H123" i="1"/>
  <c r="I221" i="1"/>
  <c r="H16" i="1"/>
  <c r="H324" i="1"/>
  <c r="H269" i="1"/>
  <c r="H353" i="1"/>
  <c r="I324" i="1"/>
  <c r="H183" i="1"/>
  <c r="H99" i="1"/>
  <c r="I251" i="1"/>
  <c r="H336" i="1"/>
  <c r="I16" i="1"/>
  <c r="I99" i="1"/>
  <c r="I353" i="1"/>
  <c r="I183" i="1"/>
  <c r="I269" i="1"/>
  <c r="I123" i="1"/>
  <c r="H221" i="1"/>
  <c r="I336" i="1"/>
  <c r="I383" i="1"/>
  <c r="I284" i="1"/>
  <c r="H49" i="1"/>
  <c r="H281" i="1"/>
  <c r="I330" i="1"/>
  <c r="H274" i="1"/>
  <c r="H423" i="1"/>
  <c r="I238" i="1"/>
  <c r="H229" i="1"/>
  <c r="H238" i="1"/>
  <c r="I274" i="1"/>
  <c r="H383" i="1"/>
  <c r="H330" i="1"/>
  <c r="H156" i="1"/>
  <c r="I156" i="1"/>
  <c r="I423" i="1"/>
  <c r="I49" i="1"/>
  <c r="I281" i="1"/>
  <c r="I229" i="1"/>
  <c r="H284" i="1"/>
  <c r="I296" i="1"/>
  <c r="H386" i="1"/>
  <c r="H108" i="1"/>
  <c r="H10" i="1"/>
  <c r="H335" i="1"/>
  <c r="H44" i="1"/>
  <c r="H358" i="1"/>
  <c r="H82" i="1"/>
  <c r="I114" i="1"/>
  <c r="I368" i="1"/>
  <c r="H114" i="1"/>
  <c r="I108" i="1"/>
  <c r="I10" i="1"/>
  <c r="H296" i="1"/>
  <c r="I82" i="1"/>
  <c r="I335" i="1"/>
  <c r="I358" i="1"/>
  <c r="H368" i="1"/>
  <c r="I386" i="1"/>
  <c r="I44" i="1"/>
  <c r="H405" i="1"/>
  <c r="H160" i="1"/>
  <c r="I341" i="1"/>
  <c r="I173" i="1"/>
  <c r="I124" i="1"/>
  <c r="I94" i="1"/>
  <c r="I184" i="1"/>
  <c r="I342" i="1"/>
  <c r="I292" i="1"/>
  <c r="I437" i="1"/>
  <c r="I405" i="1"/>
  <c r="H342" i="1"/>
  <c r="H94" i="1"/>
  <c r="H173" i="1"/>
  <c r="H124" i="1"/>
  <c r="I160" i="1"/>
  <c r="H341" i="1"/>
  <c r="H184" i="1"/>
  <c r="H437" i="1"/>
  <c r="H292" i="1"/>
  <c r="I96" i="1"/>
  <c r="I320" i="1"/>
  <c r="I138" i="1"/>
  <c r="I93" i="1"/>
  <c r="H289" i="1"/>
  <c r="H32" i="1"/>
  <c r="I230" i="1"/>
  <c r="H43" i="1"/>
  <c r="I122" i="1"/>
  <c r="H65" i="1"/>
  <c r="I65" i="1"/>
  <c r="I32" i="1"/>
  <c r="H320" i="1"/>
  <c r="H93" i="1"/>
  <c r="I43" i="1"/>
  <c r="H138" i="1"/>
  <c r="H96" i="1"/>
  <c r="I289" i="1"/>
  <c r="H122" i="1"/>
  <c r="H230" i="1"/>
  <c r="I162" i="1"/>
  <c r="H22" i="1"/>
  <c r="I127" i="1"/>
  <c r="I263" i="1"/>
  <c r="I11" i="1"/>
  <c r="H154" i="1"/>
  <c r="I389" i="1"/>
  <c r="H91" i="1"/>
  <c r="H134" i="1"/>
  <c r="I8" i="1"/>
  <c r="I22" i="1"/>
  <c r="H127" i="1"/>
  <c r="H162" i="1"/>
  <c r="H389" i="1"/>
  <c r="I134" i="1"/>
  <c r="H263" i="1"/>
  <c r="H11" i="1"/>
  <c r="I154" i="1"/>
  <c r="H8" i="1"/>
  <c r="I91" i="1"/>
  <c r="H264" i="1"/>
  <c r="I185" i="1"/>
  <c r="I9" i="1"/>
  <c r="I293" i="1"/>
  <c r="I370" i="1"/>
  <c r="I378" i="1"/>
  <c r="H195" i="1"/>
  <c r="I236" i="1"/>
  <c r="I28" i="1"/>
  <c r="I195" i="1"/>
  <c r="H308" i="1"/>
  <c r="H293" i="1"/>
  <c r="I264" i="1"/>
  <c r="H185" i="1"/>
  <c r="H236" i="1"/>
  <c r="H370" i="1"/>
  <c r="H378" i="1"/>
  <c r="I308" i="1"/>
  <c r="H9" i="1"/>
  <c r="H28" i="1"/>
  <c r="I23" i="1"/>
  <c r="I275" i="1"/>
  <c r="I282" i="1"/>
  <c r="H74" i="1"/>
  <c r="I316" i="1"/>
  <c r="I161" i="1"/>
  <c r="I431" i="1"/>
  <c r="I400" i="1"/>
  <c r="H130" i="1"/>
  <c r="H214" i="1"/>
  <c r="H400" i="1"/>
  <c r="I130" i="1"/>
  <c r="I74" i="1"/>
  <c r="H275" i="1"/>
  <c r="H431" i="1"/>
  <c r="H23" i="1"/>
  <c r="I214" i="1"/>
  <c r="H161" i="1"/>
  <c r="H316" i="1"/>
  <c r="H282" i="1"/>
  <c r="I177" i="1"/>
  <c r="I193" i="1"/>
  <c r="H38" i="1"/>
  <c r="I376" i="1"/>
  <c r="H215" i="1"/>
  <c r="H252" i="1"/>
  <c r="I396" i="1"/>
  <c r="I402" i="1"/>
  <c r="H76" i="1"/>
  <c r="I29" i="1"/>
  <c r="I252" i="1"/>
  <c r="H376" i="1"/>
  <c r="H29" i="1"/>
  <c r="I38" i="1"/>
  <c r="H177" i="1"/>
  <c r="H402" i="1"/>
  <c r="I76" i="1"/>
  <c r="H396" i="1"/>
  <c r="H193" i="1"/>
  <c r="I215" i="1"/>
  <c r="H73" i="1"/>
  <c r="H265" i="1"/>
  <c r="H309" i="1"/>
  <c r="I88" i="1"/>
  <c r="I118" i="1"/>
  <c r="I5" i="1"/>
  <c r="I67" i="1"/>
  <c r="I172" i="1"/>
  <c r="H380" i="1"/>
  <c r="I171" i="1"/>
  <c r="H413" i="1"/>
  <c r="H250" i="1"/>
  <c r="H135" i="1"/>
  <c r="I413" i="1"/>
  <c r="H67" i="1"/>
  <c r="I73" i="1"/>
  <c r="H171" i="1"/>
  <c r="I250" i="1"/>
  <c r="I380" i="1"/>
  <c r="I135" i="1"/>
  <c r="H5" i="1"/>
  <c r="H201" i="1"/>
  <c r="H172" i="1"/>
  <c r="I265" i="1"/>
  <c r="I128" i="1"/>
  <c r="H60" i="1"/>
  <c r="H258" i="1"/>
  <c r="H35" i="1"/>
  <c r="I430" i="1"/>
  <c r="I102" i="1"/>
  <c r="I201" i="1"/>
  <c r="H88" i="1"/>
  <c r="I258" i="1"/>
  <c r="H102" i="1"/>
  <c r="H128" i="1"/>
  <c r="H430" i="1"/>
  <c r="I35" i="1"/>
  <c r="I60" i="1"/>
  <c r="H118" i="1"/>
  <c r="I309" i="1"/>
  <c r="H157" i="1"/>
  <c r="I165" i="1"/>
  <c r="H198" i="1"/>
  <c r="H245" i="1"/>
  <c r="I256" i="1"/>
  <c r="H188" i="1"/>
  <c r="H152" i="1"/>
  <c r="H364" i="1"/>
  <c r="H392" i="1"/>
  <c r="H165" i="1"/>
  <c r="I241" i="1"/>
  <c r="I188" i="1"/>
  <c r="I198" i="1"/>
  <c r="H241" i="1"/>
  <c r="I392" i="1"/>
  <c r="H256" i="1"/>
  <c r="I245" i="1"/>
  <c r="I364" i="1"/>
  <c r="I157" i="1"/>
  <c r="I152" i="1"/>
  <c r="H46" i="1"/>
  <c r="I287" i="1"/>
  <c r="H205" i="1"/>
  <c r="H64" i="1"/>
  <c r="I393" i="1"/>
  <c r="I149" i="1"/>
  <c r="I253" i="1"/>
  <c r="I398" i="1"/>
  <c r="I218" i="1"/>
  <c r="I439" i="1"/>
  <c r="H253" i="1"/>
  <c r="H218" i="1"/>
  <c r="H393" i="1"/>
  <c r="I46" i="1"/>
  <c r="H149" i="1"/>
  <c r="I64" i="1"/>
  <c r="I205" i="1"/>
  <c r="H287" i="1"/>
  <c r="H439" i="1"/>
  <c r="H398" i="1"/>
  <c r="I242" i="1"/>
  <c r="I223" i="1"/>
  <c r="I136" i="1"/>
  <c r="H317" i="1"/>
  <c r="I54" i="1"/>
  <c r="I268" i="1"/>
  <c r="H66" i="1"/>
  <c r="I343" i="1"/>
  <c r="I239" i="1"/>
  <c r="I365" i="1"/>
  <c r="H136" i="1"/>
  <c r="H365" i="1"/>
  <c r="H268" i="1"/>
  <c r="I317" i="1"/>
  <c r="I66" i="1"/>
  <c r="H54" i="1"/>
  <c r="H242" i="1"/>
  <c r="H239" i="1"/>
  <c r="H343" i="1"/>
  <c r="H223" i="1"/>
  <c r="I84" i="1"/>
  <c r="I147" i="1"/>
  <c r="I367" i="1"/>
  <c r="I70" i="1"/>
  <c r="I372" i="1"/>
  <c r="I14" i="1"/>
  <c r="H126" i="1"/>
  <c r="I58" i="1"/>
  <c r="H415" i="1"/>
  <c r="H110" i="1"/>
  <c r="H84" i="1"/>
  <c r="H147" i="1"/>
  <c r="H372" i="1"/>
  <c r="I126" i="1"/>
  <c r="I415" i="1"/>
  <c r="I110" i="1"/>
  <c r="H70" i="1"/>
  <c r="H58" i="1"/>
  <c r="H367" i="1"/>
  <c r="H14" i="1"/>
  <c r="H6" i="1"/>
  <c r="H133" i="1"/>
  <c r="I68" i="1"/>
  <c r="I261" i="1"/>
  <c r="H137" i="1"/>
  <c r="H427" i="1"/>
  <c r="H391" i="1"/>
  <c r="I95" i="1"/>
  <c r="H98" i="1"/>
  <c r="H290" i="1"/>
  <c r="H95" i="1"/>
  <c r="H68" i="1"/>
  <c r="I427" i="1"/>
  <c r="I290" i="1"/>
  <c r="I137" i="1"/>
  <c r="I391" i="1"/>
  <c r="I133" i="1"/>
  <c r="I98" i="1"/>
  <c r="H261" i="1"/>
  <c r="I6" i="1"/>
  <c r="I397" i="1"/>
  <c r="H166" i="1"/>
  <c r="I47" i="1"/>
  <c r="H369" i="1"/>
  <c r="I97" i="1"/>
  <c r="I211" i="1"/>
  <c r="I144" i="1"/>
  <c r="H120" i="1"/>
  <c r="H331" i="1"/>
  <c r="H211" i="1"/>
  <c r="H321" i="1"/>
  <c r="I369" i="1"/>
  <c r="I321" i="1"/>
  <c r="I331" i="1"/>
  <c r="H397" i="1"/>
  <c r="H97" i="1"/>
  <c r="H47" i="1"/>
  <c r="I166" i="1"/>
  <c r="I120" i="1"/>
  <c r="H144" i="1"/>
  <c r="I148" i="1"/>
  <c r="H19" i="1"/>
  <c r="I179" i="1"/>
  <c r="H247" i="1"/>
  <c r="I377" i="1"/>
  <c r="I254" i="1"/>
  <c r="I203" i="1"/>
  <c r="I333" i="1"/>
  <c r="I404" i="1"/>
  <c r="H404" i="1"/>
  <c r="I19" i="1"/>
  <c r="H31" i="1"/>
  <c r="I247" i="1"/>
  <c r="I31" i="1"/>
  <c r="H254" i="1"/>
  <c r="H179" i="1"/>
  <c r="H203" i="1"/>
  <c r="H333" i="1"/>
  <c r="H148" i="1"/>
  <c r="H377" i="1"/>
  <c r="H334" i="1"/>
  <c r="H15" i="1"/>
  <c r="I145" i="1"/>
  <c r="I72" i="1"/>
  <c r="H119" i="1"/>
  <c r="I167" i="1"/>
  <c r="H384" i="1"/>
  <c r="H345" i="1"/>
  <c r="I249" i="1"/>
  <c r="H409" i="1"/>
  <c r="I151" i="1"/>
  <c r="H304" i="1"/>
  <c r="I219" i="1"/>
  <c r="H210" i="1"/>
  <c r="I106" i="1"/>
  <c r="H362" i="1"/>
  <c r="I61" i="1"/>
  <c r="H361" i="1"/>
  <c r="I418" i="1"/>
  <c r="H194" i="1"/>
  <c r="H151" i="1"/>
  <c r="H249" i="1"/>
  <c r="H106" i="1"/>
  <c r="I119" i="1"/>
  <c r="I194" i="1"/>
  <c r="H61" i="1"/>
  <c r="H145" i="1"/>
  <c r="H219" i="1"/>
  <c r="I210" i="1"/>
  <c r="H72" i="1"/>
  <c r="I15" i="1"/>
  <c r="I384" i="1"/>
  <c r="I334" i="1"/>
  <c r="I345" i="1"/>
  <c r="I409" i="1"/>
  <c r="I304" i="1"/>
  <c r="H167" i="1"/>
  <c r="I362" i="1"/>
  <c r="I361" i="1"/>
  <c r="H418" i="1"/>
  <c r="I25" i="1"/>
  <c r="H85" i="1"/>
  <c r="I225" i="1"/>
  <c r="H244" i="1"/>
  <c r="I329" i="1"/>
  <c r="H327" i="1"/>
  <c r="H298" i="1"/>
  <c r="H227" i="1"/>
  <c r="H294" i="1"/>
  <c r="H216" i="1"/>
  <c r="I327" i="1"/>
  <c r="I216" i="1"/>
  <c r="I227" i="1"/>
  <c r="H225" i="1"/>
  <c r="I294" i="1"/>
  <c r="I244" i="1"/>
  <c r="H25" i="1"/>
  <c r="I298" i="1"/>
  <c r="H329" i="1"/>
  <c r="I85" i="1"/>
  <c r="H411" i="1"/>
  <c r="H410" i="1"/>
  <c r="I45" i="1"/>
  <c r="H366" i="1"/>
  <c r="I30" i="1"/>
  <c r="H12" i="1"/>
  <c r="H212" i="1"/>
  <c r="I346" i="1"/>
  <c r="H192" i="1"/>
  <c r="I262" i="1"/>
  <c r="H30" i="1"/>
  <c r="H346" i="1"/>
  <c r="I366" i="1"/>
  <c r="H262" i="1"/>
  <c r="I12" i="1"/>
  <c r="I212" i="1"/>
  <c r="H45" i="1"/>
  <c r="I192" i="1"/>
  <c r="I411" i="1"/>
  <c r="I410" i="1"/>
  <c r="I107" i="1"/>
  <c r="I301" i="1"/>
  <c r="H394" i="1"/>
  <c r="I352" i="1"/>
  <c r="I142" i="1"/>
  <c r="I332" i="1"/>
  <c r="H421" i="1"/>
  <c r="I246" i="1"/>
  <c r="I129" i="1"/>
  <c r="I233" i="1"/>
  <c r="H301" i="1"/>
  <c r="H233" i="1"/>
  <c r="H107" i="1"/>
  <c r="I421" i="1"/>
  <c r="H352" i="1"/>
  <c r="H246" i="1"/>
  <c r="I394" i="1"/>
  <c r="H142" i="1"/>
  <c r="H332" i="1"/>
  <c r="H129" i="1"/>
  <c r="I340" i="1"/>
  <c r="I56" i="1"/>
  <c r="H164" i="1"/>
  <c r="H37" i="1"/>
  <c r="H379" i="1"/>
  <c r="I426" i="1"/>
  <c r="H407" i="1"/>
  <c r="I337" i="1"/>
  <c r="I311" i="1"/>
  <c r="H105" i="1"/>
  <c r="H426" i="1"/>
  <c r="I407" i="1"/>
  <c r="H337" i="1"/>
  <c r="H311" i="1"/>
  <c r="H340" i="1"/>
  <c r="I105" i="1"/>
  <c r="I379" i="1"/>
  <c r="H56" i="1"/>
  <c r="I164" i="1"/>
  <c r="I37" i="1"/>
  <c r="I422" i="1"/>
  <c r="H89" i="1"/>
  <c r="H34" i="1"/>
  <c r="H202" i="1"/>
  <c r="I168" i="1"/>
  <c r="H78" i="1"/>
  <c r="H40" i="1"/>
  <c r="H199" i="1"/>
  <c r="I303" i="1"/>
  <c r="I81" i="1"/>
  <c r="H18" i="1"/>
  <c r="H39" i="1"/>
  <c r="I425" i="1"/>
  <c r="H197" i="1"/>
  <c r="I78" i="1"/>
  <c r="H81" i="1"/>
  <c r="H303" i="1"/>
  <c r="I89" i="1"/>
  <c r="H168" i="1"/>
  <c r="H425" i="1"/>
  <c r="H206" i="1"/>
  <c r="I206" i="1"/>
  <c r="I199" i="1"/>
  <c r="H422" i="1"/>
  <c r="I197" i="1"/>
  <c r="H170" i="1"/>
  <c r="I355" i="1"/>
  <c r="I310" i="1"/>
  <c r="H279" i="1"/>
  <c r="H412" i="1"/>
  <c r="I18" i="1"/>
  <c r="I202" i="1"/>
  <c r="I170" i="1"/>
  <c r="I40" i="1"/>
  <c r="H355" i="1"/>
  <c r="I412" i="1"/>
  <c r="I279" i="1"/>
  <c r="H310" i="1"/>
  <c r="I34" i="1"/>
  <c r="I39" i="1"/>
  <c r="I24" i="1"/>
  <c r="I146" i="1"/>
  <c r="I243" i="1"/>
  <c r="I21" i="1"/>
  <c r="I20" i="1"/>
  <c r="H428" i="1"/>
  <c r="I297" i="1"/>
  <c r="I92" i="1"/>
  <c r="H228" i="1"/>
  <c r="H363" i="1"/>
  <c r="I363" i="1"/>
  <c r="H243" i="1"/>
  <c r="H146" i="1"/>
  <c r="H20" i="1"/>
  <c r="H297" i="1"/>
  <c r="I228" i="1"/>
  <c r="I428" i="1"/>
  <c r="H21" i="1"/>
  <c r="H92" i="1"/>
  <c r="H24" i="1"/>
  <c r="I121" i="1"/>
  <c r="I323" i="1"/>
  <c r="H273" i="1"/>
  <c r="H438" i="1"/>
  <c r="I234" i="1"/>
  <c r="I86" i="1"/>
  <c r="I381" i="1"/>
  <c r="H209" i="1"/>
  <c r="H121" i="1"/>
  <c r="H234" i="1"/>
  <c r="I373" i="1"/>
  <c r="I357" i="1"/>
  <c r="H357" i="1"/>
  <c r="H381" i="1"/>
  <c r="I438" i="1"/>
  <c r="I209" i="1"/>
  <c r="H373" i="1"/>
  <c r="H86" i="1"/>
  <c r="H323" i="1"/>
  <c r="I273" i="1"/>
  <c r="H259" i="1"/>
  <c r="H103" i="1"/>
  <c r="I401" i="1"/>
  <c r="I180" i="1"/>
  <c r="H351" i="1"/>
  <c r="H278" i="1"/>
  <c r="I175" i="1"/>
  <c r="H132" i="1"/>
  <c r="H255" i="1"/>
  <c r="H224" i="1"/>
  <c r="I278" i="1"/>
  <c r="I255" i="1"/>
  <c r="I132" i="1"/>
  <c r="I351" i="1"/>
  <c r="H401" i="1"/>
  <c r="H180" i="1"/>
  <c r="I103" i="1"/>
  <c r="H175" i="1"/>
  <c r="I224" i="1"/>
  <c r="I259" i="1"/>
  <c r="I371" i="1"/>
  <c r="H270" i="1"/>
  <c r="H344" i="1"/>
  <c r="H306" i="1"/>
  <c r="I79" i="1"/>
  <c r="I270" i="1"/>
  <c r="H237" i="1"/>
  <c r="H163" i="1"/>
  <c r="I322" i="1"/>
  <c r="I306" i="1"/>
  <c r="H359" i="1"/>
  <c r="I344" i="1"/>
  <c r="I359" i="1"/>
  <c r="I237" i="1"/>
  <c r="H79" i="1"/>
  <c r="I163" i="1"/>
  <c r="H371" i="1"/>
  <c r="H435" i="1"/>
  <c r="I435" i="1"/>
  <c r="H322" i="1"/>
</calcChain>
</file>

<file path=xl/sharedStrings.xml><?xml version="1.0" encoding="utf-8"?>
<sst xmlns="http://schemas.openxmlformats.org/spreadsheetml/2006/main" count="2990" uniqueCount="1597">
  <si>
    <t>EQY_FUND_CRNCY</t>
  </si>
  <si>
    <t>REL_INDEX</t>
  </si>
  <si>
    <t>FA_ADJUSTED</t>
  </si>
  <si>
    <t>LCL</t>
  </si>
  <si>
    <t>Ticker</t>
  </si>
  <si>
    <t>Name</t>
  </si>
  <si>
    <t>IPO Dt</t>
  </si>
  <si>
    <t>Price:D-1</t>
  </si>
  <si>
    <t>Market Cap</t>
  </si>
  <si>
    <t>IPO Offer Px Lst Cls % Chg</t>
  </si>
  <si>
    <t>IPO Offer Px 1st Opn Px % Chg</t>
  </si>
  <si>
    <t>IPO Sh Px</t>
  </si>
  <si>
    <t>IPO Sh Offered</t>
  </si>
  <si>
    <t>GICS Sector</t>
  </si>
  <si>
    <t>GICS Ind Name</t>
  </si>
  <si>
    <t>GICS SubInd Name</t>
  </si>
  <si>
    <t>None (435 securities)</t>
  </si>
  <si>
    <t>2257 HK Equity</t>
  </si>
  <si>
    <t>SIRNAOMICS LTD</t>
  </si>
  <si>
    <t>12/30/2021</t>
  </si>
  <si>
    <t>2257 HK</t>
  </si>
  <si>
    <t>Health Care</t>
  </si>
  <si>
    <t>Biotechnology</t>
  </si>
  <si>
    <t>IMMX US Equity</t>
  </si>
  <si>
    <t>IMMIX BIOPHARMA INC</t>
  </si>
  <si>
    <t>12/16/2021</t>
  </si>
  <si>
    <t>IMMX US</t>
  </si>
  <si>
    <t>NPFD US Equity</t>
  </si>
  <si>
    <t>NUVEEN VAR RT PREF &amp; INC</t>
  </si>
  <si>
    <t>NPFD</t>
  </si>
  <si>
    <t>PPHC LN Equity</t>
  </si>
  <si>
    <t>PUBLIC POLICY H-DI REGS CAT3</t>
  </si>
  <si>
    <t>PPHC LN</t>
  </si>
  <si>
    <t>Industrials</t>
  </si>
  <si>
    <t>Professional Services</t>
  </si>
  <si>
    <t>Research &amp; Consulting Services</t>
  </si>
  <si>
    <t>IOT US Equity</t>
  </si>
  <si>
    <t>SAMSARA INC-CL A</t>
  </si>
  <si>
    <t>12/15/2021</t>
  </si>
  <si>
    <t>IOT US</t>
  </si>
  <si>
    <t>Information Technology</t>
  </si>
  <si>
    <t>Software</t>
  </si>
  <si>
    <t>Application Software</t>
  </si>
  <si>
    <t>AMZE US Equity</t>
  </si>
  <si>
    <t>AMAZE HOLDINGS INC</t>
  </si>
  <si>
    <t>12/14/2021</t>
  </si>
  <si>
    <t>AMZE US</t>
  </si>
  <si>
    <t>Consumer Staples</t>
  </si>
  <si>
    <t>Beverages</t>
  </si>
  <si>
    <t>Distillers &amp; Vintners</t>
  </si>
  <si>
    <t>SIDU US Equity</t>
  </si>
  <si>
    <t>SIDUS SPACE INC-CL A</t>
  </si>
  <si>
    <t>SIDU US</t>
  </si>
  <si>
    <t>Aerospace &amp; Defense</t>
  </si>
  <si>
    <t>HCP US Equity</t>
  </si>
  <si>
    <t>HASHICORP INC-CL A</t>
  </si>
  <si>
    <t>12/09/2021</t>
  </si>
  <si>
    <t>HCP US</t>
  </si>
  <si>
    <t>CING US Equity</t>
  </si>
  <si>
    <t>CINGULATE INC</t>
  </si>
  <si>
    <t>12/08/2021</t>
  </si>
  <si>
    <t>CING US</t>
  </si>
  <si>
    <t>Pharmaceuticals</t>
  </si>
  <si>
    <t>REFI US Equity</t>
  </si>
  <si>
    <t>CHICAGO ATLANTIC REAL ESTATE</t>
  </si>
  <si>
    <t>REFI US</t>
  </si>
  <si>
    <t>Financials</t>
  </si>
  <si>
    <t>Mortgage Real Estate Investment Trusts (REITs)</t>
  </si>
  <si>
    <t>Mortgage REITs</t>
  </si>
  <si>
    <t>GWLL US Equity</t>
  </si>
  <si>
    <t>GOLDENWELL BIOTECH INC</t>
  </si>
  <si>
    <t>12/07/2021</t>
  </si>
  <si>
    <t>GWLL US</t>
  </si>
  <si>
    <t>CELZ US Equity</t>
  </si>
  <si>
    <t>CREATIVE MEDICAL TECHNOLOGY</t>
  </si>
  <si>
    <t>12/03/2021</t>
  </si>
  <si>
    <t>CELZ US</t>
  </si>
  <si>
    <t>STET/U US Equity</t>
  </si>
  <si>
    <t>ST ENERGY TRANSITION I LTD</t>
  </si>
  <si>
    <t>STET/U US</t>
  </si>
  <si>
    <t>GUG US Equity</t>
  </si>
  <si>
    <t>GUGGENHEIM ACTIVE ALLOCATION</t>
  </si>
  <si>
    <t>11/24/2021</t>
  </si>
  <si>
    <t>GUG</t>
  </si>
  <si>
    <t>EBR AU Equity</t>
  </si>
  <si>
    <t>EBR SYSTEMS INC-CDI</t>
  </si>
  <si>
    <t>EBR AU</t>
  </si>
  <si>
    <t>Health Care Equipment &amp; Supplies</t>
  </si>
  <si>
    <t>Health Care Equipment</t>
  </si>
  <si>
    <t>MKULQ US Equity</t>
  </si>
  <si>
    <t>MKUL INC</t>
  </si>
  <si>
    <t>MKULQ US</t>
  </si>
  <si>
    <t>FINW US Equity</t>
  </si>
  <si>
    <t>FINWISE BANCORP</t>
  </si>
  <si>
    <t>11/19/2021</t>
  </si>
  <si>
    <t>FINW US</t>
  </si>
  <si>
    <t>Banks</t>
  </si>
  <si>
    <t>Regional Banks</t>
  </si>
  <si>
    <t>SG US Equity</t>
  </si>
  <si>
    <t>SWEETGREEN INC - CLASS A</t>
  </si>
  <si>
    <t>11/18/2021</t>
  </si>
  <si>
    <t>SG US</t>
  </si>
  <si>
    <t>Consumer Discretionary</t>
  </si>
  <si>
    <t>Hotels, Restaurants &amp; Leisure</t>
  </si>
  <si>
    <t>Restaurants</t>
  </si>
  <si>
    <t>BRZE US Equity</t>
  </si>
  <si>
    <t>BRAZE INC-A</t>
  </si>
  <si>
    <t>11/17/2021</t>
  </si>
  <si>
    <t>BRZE US</t>
  </si>
  <si>
    <t>USER US Equity</t>
  </si>
  <si>
    <t>USERTESTING INC</t>
  </si>
  <si>
    <t>USER US</t>
  </si>
  <si>
    <t>CCAP US Equity</t>
  </si>
  <si>
    <t>CRESCENT CAPITAL BDC INC</t>
  </si>
  <si>
    <t>11/16/2021</t>
  </si>
  <si>
    <t>CCAP US</t>
  </si>
  <si>
    <t>Capital Markets</t>
  </si>
  <si>
    <t>Asset Management &amp; Custody Banks</t>
  </si>
  <si>
    <t>ASCU CN Equity</t>
  </si>
  <si>
    <t>ARIZONA SONORAN COPPER CO IN</t>
  </si>
  <si>
    <t>ASCU CN</t>
  </si>
  <si>
    <t>WAM CN Equity</t>
  </si>
  <si>
    <t>ALASKA SILVER CORP</t>
  </si>
  <si>
    <t>11/15/2021</t>
  </si>
  <si>
    <t>WAM CN</t>
  </si>
  <si>
    <t>Materials</t>
  </si>
  <si>
    <t>Metals &amp; Mining</t>
  </si>
  <si>
    <t>Diversified Metals &amp; Mining</t>
  </si>
  <si>
    <t>DERM US Equity</t>
  </si>
  <si>
    <t>JOURNEY MEDICAL CORP</t>
  </si>
  <si>
    <t>11/12/2021</t>
  </si>
  <si>
    <t>DERM US</t>
  </si>
  <si>
    <t>BLZE US Equity</t>
  </si>
  <si>
    <t>BACKBLAZE INC-A</t>
  </si>
  <si>
    <t>11/11/2021</t>
  </si>
  <si>
    <t>BLZE US</t>
  </si>
  <si>
    <t>IT Services</t>
  </si>
  <si>
    <t>Internet Services &amp; Infrastructure</t>
  </si>
  <si>
    <t>WEAV US Equity</t>
  </si>
  <si>
    <t>WEAVE COMMUNICATIONS INC</t>
  </si>
  <si>
    <t>WEAV US</t>
  </si>
  <si>
    <t>WBEVQ US Equity</t>
  </si>
  <si>
    <t>WINC INC</t>
  </si>
  <si>
    <t>WBEVQ US</t>
  </si>
  <si>
    <t>VBIO US Equity</t>
  </si>
  <si>
    <t>VALION BIO INC</t>
  </si>
  <si>
    <t>VBIO US</t>
  </si>
  <si>
    <t>VAXX US Equity</t>
  </si>
  <si>
    <t>VAXXINITY INC-A</t>
  </si>
  <si>
    <t>VAXX US</t>
  </si>
  <si>
    <t>PIKM US Equity</t>
  </si>
  <si>
    <t>KIDPIK CORP</t>
  </si>
  <si>
    <t>PIKM US</t>
  </si>
  <si>
    <t>Specialty Retail</t>
  </si>
  <si>
    <t>Apparel Retail</t>
  </si>
  <si>
    <t>LVLU US Equity</t>
  </si>
  <si>
    <t>LULU'S FASHION LOUNGE HOLDIN</t>
  </si>
  <si>
    <t>LVLU US</t>
  </si>
  <si>
    <t>RIVN US Equity</t>
  </si>
  <si>
    <t>RIVIAN AUTOMOTIVE INC-A</t>
  </si>
  <si>
    <t>11/10/2021</t>
  </si>
  <si>
    <t>RIVN US</t>
  </si>
  <si>
    <t>Automobiles</t>
  </si>
  <si>
    <t>Automobile Manufacturers</t>
  </si>
  <si>
    <t>EXFY US Equity</t>
  </si>
  <si>
    <t>EXPENSIFY INC - A</t>
  </si>
  <si>
    <t>EXFY US</t>
  </si>
  <si>
    <t>TCBX US Equity</t>
  </si>
  <si>
    <t>THIRD COAST BANCSHARES INC</t>
  </si>
  <si>
    <t>11/09/2021</t>
  </si>
  <si>
    <t>TCBX US</t>
  </si>
  <si>
    <t>SOPAQ US Equity</t>
  </si>
  <si>
    <t>SOCIETY PASS INC</t>
  </si>
  <si>
    <t>SOPAQ US</t>
  </si>
  <si>
    <t>Communication Services</t>
  </si>
  <si>
    <t>Interactive Media &amp; Services</t>
  </si>
  <si>
    <t>HTZ US Equity</t>
  </si>
  <si>
    <t>HERTZ GLOBAL HLDGS INC</t>
  </si>
  <si>
    <t>HTZ US</t>
  </si>
  <si>
    <t>Ground Transportation</t>
  </si>
  <si>
    <t>Passenger Ground Transportation</t>
  </si>
  <si>
    <t>QUCY US Equity</t>
  </si>
  <si>
    <t>QUANTUM CYBER NV</t>
  </si>
  <si>
    <t>11/05/2021</t>
  </si>
  <si>
    <t>QUCY US</t>
  </si>
  <si>
    <t>RGFC US Equity</t>
  </si>
  <si>
    <t>REAL GOOD FOOD CO INC/THE</t>
  </si>
  <si>
    <t>RGFC US</t>
  </si>
  <si>
    <t>Food Products</t>
  </si>
  <si>
    <t>Packaged Foods &amp; Meats</t>
  </si>
  <si>
    <t>BRTX US Equity</t>
  </si>
  <si>
    <t>BIORESTORATIVE THERAPIES INC</t>
  </si>
  <si>
    <t>BRTX US</t>
  </si>
  <si>
    <t>NRDS US Equity</t>
  </si>
  <si>
    <t>NERDWALLET INC-CL A</t>
  </si>
  <si>
    <t>11/04/2021</t>
  </si>
  <si>
    <t>NRDS US</t>
  </si>
  <si>
    <t>Consumer Finance</t>
  </si>
  <si>
    <t>DEVO LN Equity</t>
  </si>
  <si>
    <t>DEVOLVER DIGITAL-DI REGS144A</t>
  </si>
  <si>
    <t>DEVO LN</t>
  </si>
  <si>
    <t>Entertainment</t>
  </si>
  <si>
    <t>Interactive Home Entertainment</t>
  </si>
  <si>
    <t>CDRE US Equity</t>
  </si>
  <si>
    <t>CADRE HOLDINGS INC</t>
  </si>
  <si>
    <t>CDRE US</t>
  </si>
  <si>
    <t>ARHS US Equity</t>
  </si>
  <si>
    <t>ARHAUS INC</t>
  </si>
  <si>
    <t>ARHS US</t>
  </si>
  <si>
    <t>Homefurnishing Retail</t>
  </si>
  <si>
    <t>MPRAU US Equity</t>
  </si>
  <si>
    <t>MERCATO PARTNERS ACQUISITION</t>
  </si>
  <si>
    <t>MPRAU US</t>
  </si>
  <si>
    <t>BIRD US Equity</t>
  </si>
  <si>
    <t>SMARTBIRD INC</t>
  </si>
  <si>
    <t>11/03/2021</t>
  </si>
  <si>
    <t>BIRD US</t>
  </si>
  <si>
    <t>Textiles, Apparel &amp; Luxury Goods</t>
  </si>
  <si>
    <t>Footwear</t>
  </si>
  <si>
    <t>BSFC US Equity</t>
  </si>
  <si>
    <t>BLUE STAR FOODS CORP</t>
  </si>
  <si>
    <t>BSFC US</t>
  </si>
  <si>
    <t>CMTG US Equity</t>
  </si>
  <si>
    <t>CLAROS MORTGAGE TRUST INC</t>
  </si>
  <si>
    <t>CMTG US</t>
  </si>
  <si>
    <t>CMPX US Equity</t>
  </si>
  <si>
    <t>COMPASS THERAPEUTICS INC</t>
  </si>
  <si>
    <t>11/02/2021</t>
  </si>
  <si>
    <t>CMPX US</t>
  </si>
  <si>
    <t>SONX US Equity</t>
  </si>
  <si>
    <t>SONENDO INC</t>
  </si>
  <si>
    <t>10/29/2021</t>
  </si>
  <si>
    <t>SONX US</t>
  </si>
  <si>
    <t>AURA US Equity</t>
  </si>
  <si>
    <t>AURA BIOSCIENCES INC</t>
  </si>
  <si>
    <t>AURA US</t>
  </si>
  <si>
    <t>UDMY US Equity</t>
  </si>
  <si>
    <t>UDEMY INC</t>
  </si>
  <si>
    <t>UDMY US</t>
  </si>
  <si>
    <t>BFRI US Equity</t>
  </si>
  <si>
    <t>BIOFRONTERA INC</t>
  </si>
  <si>
    <t>BFRI US</t>
  </si>
  <si>
    <t>TRDA US Equity</t>
  </si>
  <si>
    <t>ENTRADA THERAPEUTICS INC</t>
  </si>
  <si>
    <t>TRDA US</t>
  </si>
  <si>
    <t>AIRS US Equity</t>
  </si>
  <si>
    <t>AIRSCULPT TECHNOLOGIES INC</t>
  </si>
  <si>
    <t>AIRS US</t>
  </si>
  <si>
    <t>Health Care Providers &amp; Services</t>
  </si>
  <si>
    <t>Health Care Services</t>
  </si>
  <si>
    <t>HRT US Equity</t>
  </si>
  <si>
    <t>HIRERIGHT HOLDINGS CORP</t>
  </si>
  <si>
    <t>HRT US</t>
  </si>
  <si>
    <t>GFS US Equity</t>
  </si>
  <si>
    <t>GLOBALFOUNDRIES INC</t>
  </si>
  <si>
    <t>10/28/2021</t>
  </si>
  <si>
    <t>GFS US</t>
  </si>
  <si>
    <t>Semiconductors &amp; Semiconductor Equipment</t>
  </si>
  <si>
    <t>Semiconductors</t>
  </si>
  <si>
    <t>BXSL US Equity</t>
  </si>
  <si>
    <t>BLACKSTONE SECURED LENDING F</t>
  </si>
  <si>
    <t>BXSL US</t>
  </si>
  <si>
    <t>FLNC US Equity</t>
  </si>
  <si>
    <t>FLUENCE ENERGY INC</t>
  </si>
  <si>
    <t>FLNC US</t>
  </si>
  <si>
    <t>Electrical Equipment</t>
  </si>
  <si>
    <t>Electrical Components &amp; Equipment</t>
  </si>
  <si>
    <t>SBDS US Equity</t>
  </si>
  <si>
    <t>SOLO BRANDS INC - CLASS A</t>
  </si>
  <si>
    <t>SBDS US</t>
  </si>
  <si>
    <t>Leisure Products</t>
  </si>
  <si>
    <t>AIP US Equity</t>
  </si>
  <si>
    <t>ARTERIS INC</t>
  </si>
  <si>
    <t>10/27/2021</t>
  </si>
  <si>
    <t>AIP US</t>
  </si>
  <si>
    <t>Systems Software</t>
  </si>
  <si>
    <t>RENT US Equity</t>
  </si>
  <si>
    <t>RENT THE RUNWAY INC-A</t>
  </si>
  <si>
    <t>RENT US</t>
  </si>
  <si>
    <t>Other Specialty Retail</t>
  </si>
  <si>
    <t>MEGI US Equity</t>
  </si>
  <si>
    <t>NYLI CBRE GLBL INFR MEGA TRM</t>
  </si>
  <si>
    <t>MEGI</t>
  </si>
  <si>
    <t>MRAI US Equity</t>
  </si>
  <si>
    <t>MARPAI INC-CLASS A</t>
  </si>
  <si>
    <t>MRAI US</t>
  </si>
  <si>
    <t>Insurance</t>
  </si>
  <si>
    <t>Insurance Brokers</t>
  </si>
  <si>
    <t>INFA US Equity</t>
  </si>
  <si>
    <t>INFORMATICA INC - CLASS A</t>
  </si>
  <si>
    <t>INFA US</t>
  </si>
  <si>
    <t>OHAAU US Equity</t>
  </si>
  <si>
    <t>OPY ACQUISITION CORP I</t>
  </si>
  <si>
    <t>OHAAU US</t>
  </si>
  <si>
    <t>AUGX US Equity</t>
  </si>
  <si>
    <t>AUGMEDIX INC</t>
  </si>
  <si>
    <t>10/26/2021</t>
  </si>
  <si>
    <t>AUGX US</t>
  </si>
  <si>
    <t>GQG AU Equity</t>
  </si>
  <si>
    <t>GQG PARTNERS INC-CDI</t>
  </si>
  <si>
    <t>GQG AU</t>
  </si>
  <si>
    <t>UTRS US Equity</t>
  </si>
  <si>
    <t>MINERVA SURGICAL INC</t>
  </si>
  <si>
    <t>10/22/2021</t>
  </si>
  <si>
    <t>UTRS US</t>
  </si>
  <si>
    <t>XLO US Equity</t>
  </si>
  <si>
    <t>XILIO THERAPEUTICS INC</t>
  </si>
  <si>
    <t>XLO US</t>
  </si>
  <si>
    <t>2629861D US Equity</t>
  </si>
  <si>
    <t>ARIS WATER SOLUTIONS INC-A</t>
  </si>
  <si>
    <t>2629861D US</t>
  </si>
  <si>
    <t>CJAX US Equity</t>
  </si>
  <si>
    <t>COJAX OIL AND GAS CORP</t>
  </si>
  <si>
    <t>10/21/2021</t>
  </si>
  <si>
    <t>CJAX US</t>
  </si>
  <si>
    <t>VTYX US Equity</t>
  </si>
  <si>
    <t>VENTYX BIOSCIENCES INC</t>
  </si>
  <si>
    <t>VTYX US</t>
  </si>
  <si>
    <t>ENFN US Equity</t>
  </si>
  <si>
    <t>ENFUSION INC - CLASS A</t>
  </si>
  <si>
    <t>ENFN US</t>
  </si>
  <si>
    <t>RPC US Equity</t>
  </si>
  <si>
    <t>RIDGEPOST CAPITAL INC-A</t>
  </si>
  <si>
    <t>RPC US</t>
  </si>
  <si>
    <t>COCO US Equity</t>
  </si>
  <si>
    <t>VITA COCO CO INC/THE</t>
  </si>
  <si>
    <t>COCO US</t>
  </si>
  <si>
    <t>Soft Drinks &amp; Non-alcoholic Beverages</t>
  </si>
  <si>
    <t>RWAY US Equity</t>
  </si>
  <si>
    <t>RUNWAY GROWTH FINANCE CORP</t>
  </si>
  <si>
    <t>RWAY US</t>
  </si>
  <si>
    <t>PTLO US Equity</t>
  </si>
  <si>
    <t>PORTILLO'S INC-CL A</t>
  </si>
  <si>
    <t>PTLO US</t>
  </si>
  <si>
    <t>SDIG US Equity</t>
  </si>
  <si>
    <t>STRONGHOLD DIGITAL MINING-A</t>
  </si>
  <si>
    <t>10/20/2021</t>
  </si>
  <si>
    <t>SDIG US</t>
  </si>
  <si>
    <t>CNTX US Equity</t>
  </si>
  <si>
    <t>CONTEXT THERAPEUTICS INC</t>
  </si>
  <si>
    <t>CNTX US</t>
  </si>
  <si>
    <t>CYN US Equity</t>
  </si>
  <si>
    <t>CYNGN INC</t>
  </si>
  <si>
    <t>CYN US</t>
  </si>
  <si>
    <t>FNA US Equity</t>
  </si>
  <si>
    <t>PARAGON 28 INC</t>
  </si>
  <si>
    <t>10/15/2021</t>
  </si>
  <si>
    <t>FNA US</t>
  </si>
  <si>
    <t>INKT US Equity</t>
  </si>
  <si>
    <t>MINK THERAPEUTICS INC</t>
  </si>
  <si>
    <t>INKT US</t>
  </si>
  <si>
    <t>GTLB US Equity</t>
  </si>
  <si>
    <t>GITLAB INC-CL A</t>
  </si>
  <si>
    <t>10/14/2021</t>
  </si>
  <si>
    <t>GTLB US</t>
  </si>
  <si>
    <t>LUCD US Equity</t>
  </si>
  <si>
    <t>LUCID DIAGNOSTICS INC</t>
  </si>
  <si>
    <t>LUCD US</t>
  </si>
  <si>
    <t>CLST US Equity</t>
  </si>
  <si>
    <t>CATALYST BANCORP INC</t>
  </si>
  <si>
    <t>10/13/2021</t>
  </si>
  <si>
    <t>CLST US</t>
  </si>
  <si>
    <t>HCTI US Equity</t>
  </si>
  <si>
    <t>HEALTHCARE TRIANGLE INC</t>
  </si>
  <si>
    <t>HCTI US</t>
  </si>
  <si>
    <t>Health Care Technology</t>
  </si>
  <si>
    <t>AVDX US Equity</t>
  </si>
  <si>
    <t>AVIDXCHANGE HOLDINGS INC</t>
  </si>
  <si>
    <t>AVDX US</t>
  </si>
  <si>
    <t>CGTX US Equity</t>
  </si>
  <si>
    <t>COGNITION THERAPEUTICS INC</t>
  </si>
  <si>
    <t>10/08/2021</t>
  </si>
  <si>
    <t>CGTX US</t>
  </si>
  <si>
    <t>ISO US Equity</t>
  </si>
  <si>
    <t>ISOPLEXIS CORP</t>
  </si>
  <si>
    <t>ISO US</t>
  </si>
  <si>
    <t>PYXS US Equity</t>
  </si>
  <si>
    <t>PYXIS ONCOLOGY INC</t>
  </si>
  <si>
    <t>PYXS US</t>
  </si>
  <si>
    <t>THRX US Equity</t>
  </si>
  <si>
    <t>THESEUS PHARMACEUTICALS INC</t>
  </si>
  <si>
    <t>10/07/2021</t>
  </si>
  <si>
    <t>THRX US</t>
  </si>
  <si>
    <t>LTH US Equity</t>
  </si>
  <si>
    <t>LIFE TIME GROUP HOLDINGS INC</t>
  </si>
  <si>
    <t>LTH US</t>
  </si>
  <si>
    <t>Leisure Facilities</t>
  </si>
  <si>
    <t>EMPD US Equity</t>
  </si>
  <si>
    <t>EMPERY DIGITAL INC</t>
  </si>
  <si>
    <t>10/06/2021</t>
  </si>
  <si>
    <t>EMPD US</t>
  </si>
  <si>
    <t>Motorcycle Manufacturers</t>
  </si>
  <si>
    <t>NTRB US Equity</t>
  </si>
  <si>
    <t>NUTRIBAND INC</t>
  </si>
  <si>
    <t>10/01/2021</t>
  </si>
  <si>
    <t>NTRB US</t>
  </si>
  <si>
    <t>FWRG US Equity</t>
  </si>
  <si>
    <t>FIRST WATCH RESTAURANT GROUP</t>
  </si>
  <si>
    <t>FWRG US</t>
  </si>
  <si>
    <t>OLPX US Equity</t>
  </si>
  <si>
    <t>OLAPLEX HOLDINGS INC</t>
  </si>
  <si>
    <t>09/30/2021</t>
  </si>
  <si>
    <t>OLPX US</t>
  </si>
  <si>
    <t>BGDE US Equity</t>
  </si>
  <si>
    <t>BIG DIGITAL ENERGY INC</t>
  </si>
  <si>
    <t>09/29/2021</t>
  </si>
  <si>
    <t>BGDE US</t>
  </si>
  <si>
    <t>MEKA US Equity</t>
  </si>
  <si>
    <t>MELI KASZEK PIONEER CORP-A</t>
  </si>
  <si>
    <t>MEKA US</t>
  </si>
  <si>
    <t>ECAT US Equity</t>
  </si>
  <si>
    <t>BLACKROCK ESG CAP ALL TRM TR</t>
  </si>
  <si>
    <t>09/28/2021</t>
  </si>
  <si>
    <t>ECAT</t>
  </si>
  <si>
    <t>HLTHQ US Equity</t>
  </si>
  <si>
    <t>CUE HEALTH INC</t>
  </si>
  <si>
    <t>09/24/2021</t>
  </si>
  <si>
    <t>HLTHQ US</t>
  </si>
  <si>
    <t>CWAN US Equity</t>
  </si>
  <si>
    <t>CLEARWATER ANALYTICS HDS-A</t>
  </si>
  <si>
    <t>CWAN US</t>
  </si>
  <si>
    <t>SOVO US Equity</t>
  </si>
  <si>
    <t>SOVOS BRANDS INC</t>
  </si>
  <si>
    <t>09/23/2021</t>
  </si>
  <si>
    <t>SOVO US</t>
  </si>
  <si>
    <t>ESMT US Equity</t>
  </si>
  <si>
    <t>ENGAGESMART INC</t>
  </si>
  <si>
    <t>ESMT US</t>
  </si>
  <si>
    <t>THRN US Equity</t>
  </si>
  <si>
    <t>THORNE HEALTHTECH INC</t>
  </si>
  <si>
    <t>THRN US</t>
  </si>
  <si>
    <t>STER US Equity</t>
  </si>
  <si>
    <t>STERLING CHECK CORP</t>
  </si>
  <si>
    <t>STER US</t>
  </si>
  <si>
    <t>BRLT US Equity</t>
  </si>
  <si>
    <t>BRILLIANT EARTH GROUP INC-A</t>
  </si>
  <si>
    <t>BRLT US</t>
  </si>
  <si>
    <t>RELY US Equity</t>
  </si>
  <si>
    <t>REMITLY GLOBAL INC</t>
  </si>
  <si>
    <t>RELY US</t>
  </si>
  <si>
    <t>Financial Services</t>
  </si>
  <si>
    <t>Transaction &amp; Payment Processing Services</t>
  </si>
  <si>
    <t>FRSH US Equity</t>
  </si>
  <si>
    <t>FRESHWORKS INC-CL A</t>
  </si>
  <si>
    <t>09/22/2021</t>
  </si>
  <si>
    <t>FRSH US</t>
  </si>
  <si>
    <t>TOST US Equity</t>
  </si>
  <si>
    <t>TOAST INC-CLASS A</t>
  </si>
  <si>
    <t>TOST US</t>
  </si>
  <si>
    <t>AKA US Equity</t>
  </si>
  <si>
    <t>AKA BRANDS HOLDING CORP</t>
  </si>
  <si>
    <t>AKA US</t>
  </si>
  <si>
    <t>NPRA CN Equity</t>
  </si>
  <si>
    <t>NEPRA FOODS INC</t>
  </si>
  <si>
    <t>09/20/2021</t>
  </si>
  <si>
    <t>NPRA CN</t>
  </si>
  <si>
    <t>FORG US Equity</t>
  </si>
  <si>
    <t>FORGEROCK LLC</t>
  </si>
  <si>
    <t>09/16/2021</t>
  </si>
  <si>
    <t>FORG US</t>
  </si>
  <si>
    <t>ACT US Equity</t>
  </si>
  <si>
    <t>ENACT HOLDINGS INC</t>
  </si>
  <si>
    <t>ACT US</t>
  </si>
  <si>
    <t>Commercial &amp; Residential Mortgage Finance</t>
  </si>
  <si>
    <t>FLYA/U US Equity</t>
  </si>
  <si>
    <t>SOAR TECHNOLOGY ACQUISITION</t>
  </si>
  <si>
    <t>FLYA/U US</t>
  </si>
  <si>
    <t>PRCT US Equity</t>
  </si>
  <si>
    <t>PROCEPT BIOROBOTICS CORP</t>
  </si>
  <si>
    <t>09/15/2021</t>
  </si>
  <si>
    <t>PRCT US</t>
  </si>
  <si>
    <t>TYRA US Equity</t>
  </si>
  <si>
    <t>TYRA BIOSCIENCES INC</t>
  </si>
  <si>
    <t>TYRA US</t>
  </si>
  <si>
    <t>DICE US Equity</t>
  </si>
  <si>
    <t>DICE THERAPEUTICS INC</t>
  </si>
  <si>
    <t>DICE US</t>
  </si>
  <si>
    <t>KTTA US Equity</t>
  </si>
  <si>
    <t>PASITHEA THERAPEUTICS CORP</t>
  </si>
  <si>
    <t>KTTA US</t>
  </si>
  <si>
    <t>EXOD US Equity</t>
  </si>
  <si>
    <t>EXODUS MOVEMENT INC - A</t>
  </si>
  <si>
    <t>EXOD US</t>
  </si>
  <si>
    <t>NXXT US Equity</t>
  </si>
  <si>
    <t>NEXTNRG INC</t>
  </si>
  <si>
    <t>NXXT US</t>
  </si>
  <si>
    <t>Energy</t>
  </si>
  <si>
    <t>Oil, Gas &amp; Consumable Fuels</t>
  </si>
  <si>
    <t>Oil &amp; Gas Storage &amp; Transportation</t>
  </si>
  <si>
    <t>TWKS US Equity</t>
  </si>
  <si>
    <t>THOUGHTWORKS HOLDING INC</t>
  </si>
  <si>
    <t>TWKS US</t>
  </si>
  <si>
    <t>BROS US Equity</t>
  </si>
  <si>
    <t>DUTCH BROS INC-CLASS A</t>
  </si>
  <si>
    <t>BROS US</t>
  </si>
  <si>
    <t>DH US Equity</t>
  </si>
  <si>
    <t>DEFINITIVE HEALTHCARE CORP</t>
  </si>
  <si>
    <t>DH US</t>
  </si>
  <si>
    <t>SLVRU US Equity</t>
  </si>
  <si>
    <t>SILVERSPAC INC</t>
  </si>
  <si>
    <t>09/10/2021</t>
  </si>
  <si>
    <t>SLVRU US</t>
  </si>
  <si>
    <t>EVVL US Equity</t>
  </si>
  <si>
    <t>EVIL EMPIRE DESIGNS INC</t>
  </si>
  <si>
    <t>09/09/2021</t>
  </si>
  <si>
    <t>EVVL US</t>
  </si>
  <si>
    <t>RNXT US Equity</t>
  </si>
  <si>
    <t>RENOVORX INC</t>
  </si>
  <si>
    <t>08/26/2021</t>
  </si>
  <si>
    <t>RNXT US</t>
  </si>
  <si>
    <t>NLCP US Equity</t>
  </si>
  <si>
    <t>NEWLAKE CAPITAL PARTNERS INC</t>
  </si>
  <si>
    <t>08/20/2021</t>
  </si>
  <si>
    <t>NLCP US</t>
  </si>
  <si>
    <t>Real Estate</t>
  </si>
  <si>
    <t>Industrial REITs</t>
  </si>
  <si>
    <t>DRMA US Equity</t>
  </si>
  <si>
    <t>DERMATA THERAPEUTICS INC</t>
  </si>
  <si>
    <t>08/13/2021</t>
  </si>
  <si>
    <t>DRMA US</t>
  </si>
  <si>
    <t>SSBK US Equity</t>
  </si>
  <si>
    <t>SOUTHERN STATES BANCSHARES</t>
  </si>
  <si>
    <t>08/12/2021</t>
  </si>
  <si>
    <t>SSBK US</t>
  </si>
  <si>
    <t>PETV US Equity</t>
  </si>
  <si>
    <t>PETVIVO HOLDINGS INC</t>
  </si>
  <si>
    <t>08/11/2021</t>
  </si>
  <si>
    <t>PETV US</t>
  </si>
  <si>
    <t>CLYM US Equity</t>
  </si>
  <si>
    <t>CLIMB BIO INC</t>
  </si>
  <si>
    <t>08/10/2021</t>
  </si>
  <si>
    <t>CLYM US</t>
  </si>
  <si>
    <t>IVVD US Equity</t>
  </si>
  <si>
    <t>INVIVYD INC</t>
  </si>
  <si>
    <t>08/06/2021</t>
  </si>
  <si>
    <t>IVVD US</t>
  </si>
  <si>
    <t>MIO US Equity</t>
  </si>
  <si>
    <t>PIONEER MUNI HIGH INC OPP</t>
  </si>
  <si>
    <t>MIO</t>
  </si>
  <si>
    <t>WEBR US Equity</t>
  </si>
  <si>
    <t>WEBER INC - CLASS A</t>
  </si>
  <si>
    <t>08/05/2021</t>
  </si>
  <si>
    <t>WEBR US</t>
  </si>
  <si>
    <t>EWCZ US Equity</t>
  </si>
  <si>
    <t>EUROPEAN WAX CENTER INC-A</t>
  </si>
  <si>
    <t>EWCZ US</t>
  </si>
  <si>
    <t>CYBE CN Equity</t>
  </si>
  <si>
    <t>CYBERCATCH HOLDINGS INC</t>
  </si>
  <si>
    <t>CYBE CN</t>
  </si>
  <si>
    <t>OBT US Equity</t>
  </si>
  <si>
    <t>ORANGE COUNTY BANCORP INC</t>
  </si>
  <si>
    <t>OBT US</t>
  </si>
  <si>
    <t>IDWM US Equity</t>
  </si>
  <si>
    <t>IDW MEDIA HOLDINGS INC-B</t>
  </si>
  <si>
    <t>08/04/2021</t>
  </si>
  <si>
    <t>IDWM US</t>
  </si>
  <si>
    <t>Media</t>
  </si>
  <si>
    <t>Publishing</t>
  </si>
  <si>
    <t>IPM US Equity</t>
  </si>
  <si>
    <t>INTELLIGENT PROTECTION MANAG</t>
  </si>
  <si>
    <t>08/03/2021</t>
  </si>
  <si>
    <t>IPM US</t>
  </si>
  <si>
    <t>IT Consulting &amp; Other Services</t>
  </si>
  <si>
    <t>IMRX US Equity</t>
  </si>
  <si>
    <t>IMMUNEERING CORP - CLASS A</t>
  </si>
  <si>
    <t>07/30/2021</t>
  </si>
  <si>
    <t>IMRX US</t>
  </si>
  <si>
    <t>TNYA US Equity</t>
  </si>
  <si>
    <t>TENAYA THERAPEUTICS INC</t>
  </si>
  <si>
    <t>TNYA US</t>
  </si>
  <si>
    <t>MXCT US Equity</t>
  </si>
  <si>
    <t>MAXCYTE INC</t>
  </si>
  <si>
    <t>MXCT US</t>
  </si>
  <si>
    <t>Life Sciences Tools &amp; Services</t>
  </si>
  <si>
    <t>RXST US Equity</t>
  </si>
  <si>
    <t>RXSIGHT INC</t>
  </si>
  <si>
    <t>RXST US</t>
  </si>
  <si>
    <t>Health Care Supplies</t>
  </si>
  <si>
    <t>OMGAQ US Equity</t>
  </si>
  <si>
    <t>OMEGA THERAPEUTICS INC</t>
  </si>
  <si>
    <t>OMGAQ US</t>
  </si>
  <si>
    <t>INAB US Equity</t>
  </si>
  <si>
    <t>IN8BIO INC</t>
  </si>
  <si>
    <t>INAB US</t>
  </si>
  <si>
    <t>RANI US Equity</t>
  </si>
  <si>
    <t>RANI THERAPEUTICS HOLDINGS-A</t>
  </si>
  <si>
    <t>RANI US</t>
  </si>
  <si>
    <t>HOOD US Equity</t>
  </si>
  <si>
    <t>ROBINHOOD MARKETS INC - A</t>
  </si>
  <si>
    <t>07/29/2021</t>
  </si>
  <si>
    <t>HOOD US</t>
  </si>
  <si>
    <t>Investment Banking &amp; Brokerage</t>
  </si>
  <si>
    <t>ICVX US Equity</t>
  </si>
  <si>
    <t>ICOSAVAX INC</t>
  </si>
  <si>
    <t>ICVX US</t>
  </si>
  <si>
    <t>NUVL US Equity</t>
  </si>
  <si>
    <t>NUVALENT INC-A</t>
  </si>
  <si>
    <t>NUVL US</t>
  </si>
  <si>
    <t>RLYB US Equity</t>
  </si>
  <si>
    <t>RALLYBIO CORP</t>
  </si>
  <si>
    <t>RLYB US</t>
  </si>
  <si>
    <t>COOK US Equity</t>
  </si>
  <si>
    <t>TRAEGER INC</t>
  </si>
  <si>
    <t>COOK US</t>
  </si>
  <si>
    <t>Household Durables</t>
  </si>
  <si>
    <t>Household Appliances</t>
  </si>
  <si>
    <t>MLNK US Equity</t>
  </si>
  <si>
    <t>MERIDIANLINK INC</t>
  </si>
  <si>
    <t>07/28/2021</t>
  </si>
  <si>
    <t>MLNK US</t>
  </si>
  <si>
    <t>DUOL US Equity</t>
  </si>
  <si>
    <t>DUOLINGO</t>
  </si>
  <si>
    <t>DUOL US</t>
  </si>
  <si>
    <t>Diversified Consumer Services</t>
  </si>
  <si>
    <t>Education Services</t>
  </si>
  <si>
    <t>PWSC US Equity</t>
  </si>
  <si>
    <t>POWERSCHOOL HOLDINGS INC-A</t>
  </si>
  <si>
    <t>PWSC US</t>
  </si>
  <si>
    <t>TBLD US Equity</t>
  </si>
  <si>
    <t>THORNBURG INCOME BUILDER OPP</t>
  </si>
  <si>
    <t>TBLD</t>
  </si>
  <si>
    <t>SNPO US Equity</t>
  </si>
  <si>
    <t>SNAP ONE HOLDINGS CORP</t>
  </si>
  <si>
    <t>SNPO US</t>
  </si>
  <si>
    <t>DALS US Equity</t>
  </si>
  <si>
    <t>DA32 LIFE SCIENCE TECH ACQ-A</t>
  </si>
  <si>
    <t>DALS US</t>
  </si>
  <si>
    <t>1905621D CN Equity</t>
  </si>
  <si>
    <t>BIOMIND RESEARCH CORP</t>
  </si>
  <si>
    <t>1905621D CN</t>
  </si>
  <si>
    <t>CADL US Equity</t>
  </si>
  <si>
    <t>CANDEL THERAPEUTICS INC</t>
  </si>
  <si>
    <t>07/27/2021</t>
  </si>
  <si>
    <t>CADL US</t>
  </si>
  <si>
    <t>9990823D US Equity</t>
  </si>
  <si>
    <t>US CENTURY BANK-CLASS A</t>
  </si>
  <si>
    <t>07/23/2021</t>
  </si>
  <si>
    <t>9990823D US</t>
  </si>
  <si>
    <t>TEAD US Equity</t>
  </si>
  <si>
    <t>TEADS HOLDING CO</t>
  </si>
  <si>
    <t>TEAD US</t>
  </si>
  <si>
    <t>CRBU US Equity</t>
  </si>
  <si>
    <t>CARIBOU BIOSCIENCES INC</t>
  </si>
  <si>
    <t>CRBU US</t>
  </si>
  <si>
    <t>CTKB US Equity</t>
  </si>
  <si>
    <t>CYTEK BIOSCIENCES INC</t>
  </si>
  <si>
    <t>CTKB US</t>
  </si>
  <si>
    <t>BLNGU US Equity</t>
  </si>
  <si>
    <t>BELONG ACQUISITION CORP</t>
  </si>
  <si>
    <t>BLNGU US</t>
  </si>
  <si>
    <t>CNM US Equity</t>
  </si>
  <si>
    <t>CORE &amp; MAIN INC-CLASS A</t>
  </si>
  <si>
    <t>CNM US</t>
  </si>
  <si>
    <t>Trading Companies &amp; Distributors</t>
  </si>
  <si>
    <t>XPOF US Equity</t>
  </si>
  <si>
    <t>XPONENTIAL FITNESS INC-A</t>
  </si>
  <si>
    <t>XPOF US</t>
  </si>
  <si>
    <t>BASE US Equity</t>
  </si>
  <si>
    <t>COUCHBASE INC</t>
  </si>
  <si>
    <t>07/22/2021</t>
  </si>
  <si>
    <t>BASE US</t>
  </si>
  <si>
    <t>RYAN US Equity</t>
  </si>
  <si>
    <t>RYAN SPECIALTY HOLDINGS INC</t>
  </si>
  <si>
    <t>RYAN US</t>
  </si>
  <si>
    <t>INST US Equity</t>
  </si>
  <si>
    <t>INSTRUCTURE HOLDINGS INC</t>
  </si>
  <si>
    <t>INST US</t>
  </si>
  <si>
    <t>ABSI US Equity</t>
  </si>
  <si>
    <t>ABSCI CORP</t>
  </si>
  <si>
    <t>ABSI US</t>
  </si>
  <si>
    <t>ZVIA US Equity</t>
  </si>
  <si>
    <t>ZEVIA PBC-A</t>
  </si>
  <si>
    <t>ZVIA US</t>
  </si>
  <si>
    <t>KLTR US Equity</t>
  </si>
  <si>
    <t>KALTURA INC</t>
  </si>
  <si>
    <t>07/21/2021</t>
  </si>
  <si>
    <t>KLTR US</t>
  </si>
  <si>
    <t>LAW US Equity</t>
  </si>
  <si>
    <t>CS DISCO INC</t>
  </si>
  <si>
    <t>LAW US</t>
  </si>
  <si>
    <t>TCBC US Equity</t>
  </si>
  <si>
    <t>TC BANCSHARES INC</t>
  </si>
  <si>
    <t>TCBC US</t>
  </si>
  <si>
    <t>PYCR US Equity</t>
  </si>
  <si>
    <t>PAYCOR HCM INC</t>
  </si>
  <si>
    <t>PYCR US</t>
  </si>
  <si>
    <t>VEEE US Equity</t>
  </si>
  <si>
    <t>TWIN VEE POWERCATS CO</t>
  </si>
  <si>
    <t>VEEE US</t>
  </si>
  <si>
    <t>PFTAU US Equity</t>
  </si>
  <si>
    <t>PERCEPTION CAPITAL CORP III</t>
  </si>
  <si>
    <t>PFTAU US</t>
  </si>
  <si>
    <t>HCWB US Equity</t>
  </si>
  <si>
    <t>HCW BIOLOGICS INC</t>
  </si>
  <si>
    <t>07/20/2021</t>
  </si>
  <si>
    <t>HCWB US</t>
  </si>
  <si>
    <t>IMGO US Equity</t>
  </si>
  <si>
    <t>IMAGO BIOSCIENCES INC</t>
  </si>
  <si>
    <t>07/16/2021</t>
  </si>
  <si>
    <t>IMGO US</t>
  </si>
  <si>
    <t>BLND US Equity</t>
  </si>
  <si>
    <t>BLEND LABS INC-A</t>
  </si>
  <si>
    <t>BLND US</t>
  </si>
  <si>
    <t>ERAS US Equity</t>
  </si>
  <si>
    <t>ERASCA INC</t>
  </si>
  <si>
    <t>ERAS US</t>
  </si>
  <si>
    <t>TCRX US Equity</t>
  </si>
  <si>
    <t>TSCAN THERAPEUTICS INC</t>
  </si>
  <si>
    <t>TCRX US</t>
  </si>
  <si>
    <t>BLFY US Equity</t>
  </si>
  <si>
    <t>BLUE FOUNDRY BANCORP</t>
  </si>
  <si>
    <t>BLFY US</t>
  </si>
  <si>
    <t>BRDG US Equity</t>
  </si>
  <si>
    <t>BRIDGE INVESTMENT GRP HDS-A</t>
  </si>
  <si>
    <t>BRDG US</t>
  </si>
  <si>
    <t>SERA US Equity</t>
  </si>
  <si>
    <t>SERA PROGNOSTICS INC-A</t>
  </si>
  <si>
    <t>07/15/2021</t>
  </si>
  <si>
    <t>SERA US</t>
  </si>
  <si>
    <t>RPID US Equity</t>
  </si>
  <si>
    <t>RAPID MICRO BIOSYSTEMS INC-A</t>
  </si>
  <si>
    <t>RPID US</t>
  </si>
  <si>
    <t>SGHT US Equity</t>
  </si>
  <si>
    <t>SIGHT SCIENCES INC</t>
  </si>
  <si>
    <t>SGHT US</t>
  </si>
  <si>
    <t>FXLV US Equity</t>
  </si>
  <si>
    <t>F45 TRAINING HOLDINGS INC</t>
  </si>
  <si>
    <t>FXLV US</t>
  </si>
  <si>
    <t>PBBK US Equity</t>
  </si>
  <si>
    <t>PB BANKSHARES INC</t>
  </si>
  <si>
    <t>PBBK US</t>
  </si>
  <si>
    <t>CULL US Equity</t>
  </si>
  <si>
    <t>CULLMAN BANCORP INC/MD</t>
  </si>
  <si>
    <t>CULL US</t>
  </si>
  <si>
    <t>PECO US Equity</t>
  </si>
  <si>
    <t>PHILLIPS EDISON &amp; COMPANY IN</t>
  </si>
  <si>
    <t>PECO US</t>
  </si>
  <si>
    <t>Retail REITs</t>
  </si>
  <si>
    <t>TCBS US Equity</t>
  </si>
  <si>
    <t>TEXAS COMMUNITY BANCSHARES</t>
  </si>
  <si>
    <t>TCBS US</t>
  </si>
  <si>
    <t>BCOW US Equity</t>
  </si>
  <si>
    <t>1895 BANCORP OF WISCONSIN IN</t>
  </si>
  <si>
    <t>BCOW US</t>
  </si>
  <si>
    <t>UNCY US Equity</t>
  </si>
  <si>
    <t>UNICYCIVE THERAPEUTICS INC</t>
  </si>
  <si>
    <t>07/13/2021</t>
  </si>
  <si>
    <t>UNCY US</t>
  </si>
  <si>
    <t>ARYE US Equity</t>
  </si>
  <si>
    <t>ARYA SCIENCES ACQUISITION -A</t>
  </si>
  <si>
    <t>ARYE US</t>
  </si>
  <si>
    <t>NECB US Equity</t>
  </si>
  <si>
    <t>NORTHEAST COMMUNITY BANCORP</t>
  </si>
  <si>
    <t>NECB US</t>
  </si>
  <si>
    <t>RNAZ US Equity</t>
  </si>
  <si>
    <t>TRANSCODE THERAPEUTICS INC</t>
  </si>
  <si>
    <t>07/09/2021</t>
  </si>
  <si>
    <t>RNAZ US</t>
  </si>
  <si>
    <t>OKLO US Equity</t>
  </si>
  <si>
    <t>OKLO INC</t>
  </si>
  <si>
    <t>07/08/2021</t>
  </si>
  <si>
    <t>OKLO US</t>
  </si>
  <si>
    <t>Utilities</t>
  </si>
  <si>
    <t>Electric Utilities</t>
  </si>
  <si>
    <t>MITQ US Equity</t>
  </si>
  <si>
    <t>MOVING IMAGE TECHNOLOGIES IN</t>
  </si>
  <si>
    <t>MITQ US</t>
  </si>
  <si>
    <t>Movies &amp; Entertainment</t>
  </si>
  <si>
    <t>LLAI LN Equity</t>
  </si>
  <si>
    <t>LUNGLIFE AI INC-REG S DI</t>
  </si>
  <si>
    <t>LLAI LN</t>
  </si>
  <si>
    <t>LDX AU Equity</t>
  </si>
  <si>
    <t>LUMOS DIAGNOSTICS HOLDINGS L</t>
  </si>
  <si>
    <t>07/05/2021</t>
  </si>
  <si>
    <t>LDX AU</t>
  </si>
  <si>
    <t>ABOS US Equity</t>
  </si>
  <si>
    <t>ACUMEN PHARMACEUTICALS INC</t>
  </si>
  <si>
    <t>07/01/2021</t>
  </si>
  <si>
    <t>ABOS US</t>
  </si>
  <si>
    <t>GGRP US Equity</t>
  </si>
  <si>
    <t>GLIMPSE GROUP INC/THE</t>
  </si>
  <si>
    <t>GGRP US</t>
  </si>
  <si>
    <t>CORS/U US Equity</t>
  </si>
  <si>
    <t>CORSAIR PARTNERING CORP</t>
  </si>
  <si>
    <t>CORS/U US</t>
  </si>
  <si>
    <t>GGGVU US Equity</t>
  </si>
  <si>
    <t>G3 VRM ACQUISITION CORP</t>
  </si>
  <si>
    <t>GGGVU US</t>
  </si>
  <si>
    <t>EVCM US Equity</t>
  </si>
  <si>
    <t>EVERCOMMERCE INC</t>
  </si>
  <si>
    <t>EVCM US</t>
  </si>
  <si>
    <t>DNUT US Equity</t>
  </si>
  <si>
    <t>KRISPY KREME INC</t>
  </si>
  <si>
    <t>DNUT US</t>
  </si>
  <si>
    <t>CURV US Equity</t>
  </si>
  <si>
    <t>TORRID HOLDINGS INC</t>
  </si>
  <si>
    <t>CURV US</t>
  </si>
  <si>
    <t>CVRX US Equity</t>
  </si>
  <si>
    <t>CVRX INC</t>
  </si>
  <si>
    <t>06/30/2021</t>
  </si>
  <si>
    <t>CVRX US</t>
  </si>
  <si>
    <t>LZ US Equity</t>
  </si>
  <si>
    <t>LEGALZOOMCOM INC</t>
  </si>
  <si>
    <t>LZ US</t>
  </si>
  <si>
    <t>INTA US Equity</t>
  </si>
  <si>
    <t>INTAPP INC</t>
  </si>
  <si>
    <t>INTA US</t>
  </si>
  <si>
    <t>S US Equity</t>
  </si>
  <si>
    <t>SENTINELONE INC -CLASS A</t>
  </si>
  <si>
    <t>S US</t>
  </si>
  <si>
    <t>XMTR US Equity</t>
  </si>
  <si>
    <t>XOMETRY INC-A</t>
  </si>
  <si>
    <t>XMTR US</t>
  </si>
  <si>
    <t>JBIO US Equity</t>
  </si>
  <si>
    <t>JADE BIOSCIENCES INC</t>
  </si>
  <si>
    <t>JBIO US</t>
  </si>
  <si>
    <t>MCAFU US Equity</t>
  </si>
  <si>
    <t>CH AUTOTECH USA INC</t>
  </si>
  <si>
    <t>MCAFU US</t>
  </si>
  <si>
    <t>AKLI US Equity</t>
  </si>
  <si>
    <t>AKILI INC</t>
  </si>
  <si>
    <t>AKLI US</t>
  </si>
  <si>
    <t>DNAB US Equity</t>
  </si>
  <si>
    <t>SOCIAL CAPITAL SUVRETTA HO-A</t>
  </si>
  <si>
    <t>DNAB US</t>
  </si>
  <si>
    <t>PROK US Equity</t>
  </si>
  <si>
    <t>PROKIDNEY CORP</t>
  </si>
  <si>
    <t>PROK US</t>
  </si>
  <si>
    <t>DNAD US Equity</t>
  </si>
  <si>
    <t>DNAD US</t>
  </si>
  <si>
    <t>IAS US Equity</t>
  </si>
  <si>
    <t>INTEGRAL AD SCIENCE HOLDING</t>
  </si>
  <si>
    <t>IAS US</t>
  </si>
  <si>
    <t>YOU US Equity</t>
  </si>
  <si>
    <t>CLEAR SECURE INC -CLASS A</t>
  </si>
  <si>
    <t>YOU US</t>
  </si>
  <si>
    <t>NIXX US Equity</t>
  </si>
  <si>
    <t>NIXXY INC</t>
  </si>
  <si>
    <t>NIXX US</t>
  </si>
  <si>
    <t>Human Resource &amp; Employment Services</t>
  </si>
  <si>
    <t>SRXH US Equity</t>
  </si>
  <si>
    <t>SRX GLOBAL INC</t>
  </si>
  <si>
    <t>06/29/2021</t>
  </si>
  <si>
    <t>SRXH US</t>
  </si>
  <si>
    <t>WDI US Equity</t>
  </si>
  <si>
    <t>WESTERN ASSET DIVERS INC</t>
  </si>
  <si>
    <t>06/28/2021</t>
  </si>
  <si>
    <t>WDI</t>
  </si>
  <si>
    <t>TKNO US Equity</t>
  </si>
  <si>
    <t>ALPHA TEKNOVA INC</t>
  </si>
  <si>
    <t>06/25/2021</t>
  </si>
  <si>
    <t>TKNO US</t>
  </si>
  <si>
    <t>ELEV US Equity</t>
  </si>
  <si>
    <t>ELEVATION ONCOLOGY INC</t>
  </si>
  <si>
    <t>ELEV US</t>
  </si>
  <si>
    <t>LENZ US Equity</t>
  </si>
  <si>
    <t>LENZ THERAPEUTICS INC</t>
  </si>
  <si>
    <t>LENZ US</t>
  </si>
  <si>
    <t>ACXP US Equity</t>
  </si>
  <si>
    <t>ACURX PHARMACEUTICALS INC</t>
  </si>
  <si>
    <t>ACXP US</t>
  </si>
  <si>
    <t>MCW US Equity</t>
  </si>
  <si>
    <t>MISTER CAR WASH INC</t>
  </si>
  <si>
    <t>MCW US</t>
  </si>
  <si>
    <t>DOCS US Equity</t>
  </si>
  <si>
    <t>DOXIMITY INC-CLASS A</t>
  </si>
  <si>
    <t>06/24/2021</t>
  </si>
  <si>
    <t>DOCS US</t>
  </si>
  <si>
    <t>UPXI US Equity</t>
  </si>
  <si>
    <t>UPEXI INC</t>
  </si>
  <si>
    <t>UPXI US</t>
  </si>
  <si>
    <t>Personal Care Products</t>
  </si>
  <si>
    <t>CFLT US Equity</t>
  </si>
  <si>
    <t>CONFLUENT INC-CLASS A</t>
  </si>
  <si>
    <t>CFLT US</t>
  </si>
  <si>
    <t>GLUE US Equity</t>
  </si>
  <si>
    <t>MONTE ROSA THERAPEUTICS INC</t>
  </si>
  <si>
    <t>GLUE US</t>
  </si>
  <si>
    <t>NEUE US Equity</t>
  </si>
  <si>
    <t>NEUEHEALTH INC</t>
  </si>
  <si>
    <t>NEUE US</t>
  </si>
  <si>
    <t>MIRO US Equity</t>
  </si>
  <si>
    <t>MIROMATRIX MEDICAL INC</t>
  </si>
  <si>
    <t>MIRO US</t>
  </si>
  <si>
    <t>CXM US Equity</t>
  </si>
  <si>
    <t>SPRINKLR INC-A</t>
  </si>
  <si>
    <t>06/23/2021</t>
  </si>
  <si>
    <t>CXM US</t>
  </si>
  <si>
    <t>FA US Equity</t>
  </si>
  <si>
    <t>FIRST ADVANTAGE CORP</t>
  </si>
  <si>
    <t>FA US</t>
  </si>
  <si>
    <t>SMD LN Equity</t>
  </si>
  <si>
    <t>SPECTRAL MD HOLDINGS LTD-DI</t>
  </si>
  <si>
    <t>06/22/2021</t>
  </si>
  <si>
    <t>SMD LN</t>
  </si>
  <si>
    <t>FEMY US Equity</t>
  </si>
  <si>
    <t>FEMASYS INC</t>
  </si>
  <si>
    <t>06/18/2021</t>
  </si>
  <si>
    <t>FEMY US</t>
  </si>
  <si>
    <t>CYTT US Equity</t>
  </si>
  <si>
    <t>CYTEIR THERAPEUTICS INC</t>
  </si>
  <si>
    <t>CYTT US</t>
  </si>
  <si>
    <t>IPSC US Equity</t>
  </si>
  <si>
    <t>CENTURY THERAPEUTICS INC</t>
  </si>
  <si>
    <t>IPSC US</t>
  </si>
  <si>
    <t>ATAI US Equity</t>
  </si>
  <si>
    <t>ATAIBECKLEY INC</t>
  </si>
  <si>
    <t>ATAI US</t>
  </si>
  <si>
    <t>TBIO US Equity</t>
  </si>
  <si>
    <t>TELESIS BIO INC</t>
  </si>
  <si>
    <t>TBIO US</t>
  </si>
  <si>
    <t>9991006D US Equity</t>
  </si>
  <si>
    <t>AMBRX BIOPHARMA INC-ADR</t>
  </si>
  <si>
    <t>9991006D US</t>
  </si>
  <si>
    <t>ISPC US Equity</t>
  </si>
  <si>
    <t>ISPECIMEN INC</t>
  </si>
  <si>
    <t>06/17/2021</t>
  </si>
  <si>
    <t>ISPC US</t>
  </si>
  <si>
    <t>VERV US Equity</t>
  </si>
  <si>
    <t>VERVE THERAPEUTICS INC</t>
  </si>
  <si>
    <t>VERV US</t>
  </si>
  <si>
    <t>LYEL US Equity</t>
  </si>
  <si>
    <t>LYELL IMMUNOPHARMA INC</t>
  </si>
  <si>
    <t>LYEL US</t>
  </si>
  <si>
    <t>AOMR US Equity</t>
  </si>
  <si>
    <t>ANGEL OAK MORTGAGE REIT INC</t>
  </si>
  <si>
    <t>AOMR US</t>
  </si>
  <si>
    <t>CNVY US Equity</t>
  </si>
  <si>
    <t>CONVEY HEALTH SOLUTIONS HOLD</t>
  </si>
  <si>
    <t>06/16/2021</t>
  </si>
  <si>
    <t>CNVY US</t>
  </si>
  <si>
    <t>ALZN US Equity</t>
  </si>
  <si>
    <t>ALZAMEND NEURO INC</t>
  </si>
  <si>
    <t>06/15/2021</t>
  </si>
  <si>
    <t>ALZN US</t>
  </si>
  <si>
    <t>DILAU US Equity</t>
  </si>
  <si>
    <t>DILA CAPITAL ACQUISITION COR</t>
  </si>
  <si>
    <t>DILAU US</t>
  </si>
  <si>
    <t>SBEV US Equity</t>
  </si>
  <si>
    <t>SPLASH BEVERAGE GROUP INC</t>
  </si>
  <si>
    <t>06/11/2021</t>
  </si>
  <si>
    <t>SBEV US</t>
  </si>
  <si>
    <t>TASK US Equity</t>
  </si>
  <si>
    <t>TASKUS INC-A</t>
  </si>
  <si>
    <t>TASK US</t>
  </si>
  <si>
    <t>Data Processing &amp; Outsourced Services</t>
  </si>
  <si>
    <t>HCNEU US Equity</t>
  </si>
  <si>
    <t>JAWS HURRICANE ACQUISITON CO</t>
  </si>
  <si>
    <t>HCNEU US</t>
  </si>
  <si>
    <t>JANX US Equity</t>
  </si>
  <si>
    <t>JANUX THERAPEUTICS INC</t>
  </si>
  <si>
    <t>JANX US</t>
  </si>
  <si>
    <t>DIBS US Equity</t>
  </si>
  <si>
    <t>1STDIBS.COM INC</t>
  </si>
  <si>
    <t>06/10/2021</t>
  </si>
  <si>
    <t>DIBS US</t>
  </si>
  <si>
    <t>Broadline Retail</t>
  </si>
  <si>
    <t>ZETA US Equity</t>
  </si>
  <si>
    <t>ZETA GLOBAL HOLDINGS CORP-A</t>
  </si>
  <si>
    <t>ZETA US</t>
  </si>
  <si>
    <t>LFST US Equity</t>
  </si>
  <si>
    <t>LIFESTANCE HEALTH GROUP INC</t>
  </si>
  <si>
    <t>LFST US</t>
  </si>
  <si>
    <t>GACQU US Equity</t>
  </si>
  <si>
    <t>GLOBAL CONSUMER ACQUISITION</t>
  </si>
  <si>
    <t>06/09/2021</t>
  </si>
  <si>
    <t>GACQU US</t>
  </si>
  <si>
    <t>ISAA US Equity</t>
  </si>
  <si>
    <t>IRON SPARK I INC-A</t>
  </si>
  <si>
    <t>ISAA US</t>
  </si>
  <si>
    <t>MQ US Equity</t>
  </si>
  <si>
    <t>MARQETA INC-A</t>
  </si>
  <si>
    <t>MQ US</t>
  </si>
  <si>
    <t>KED AU Equity</t>
  </si>
  <si>
    <t>KEYPATH EDUCATION INTERN-CDI</t>
  </si>
  <si>
    <t>06/02/2021</t>
  </si>
  <si>
    <t>KED AU</t>
  </si>
  <si>
    <t>BELL LN Equity</t>
  </si>
  <si>
    <t>BELLUSCURA PLC</t>
  </si>
  <si>
    <t>05/28/2021</t>
  </si>
  <si>
    <t>BELL LN</t>
  </si>
  <si>
    <t>CNTA US Equity</t>
  </si>
  <si>
    <t>CENTESSA PHARMACEUTICALS-ADR</t>
  </si>
  <si>
    <t>CNTA US</t>
  </si>
  <si>
    <t>ZIVO US Equity</t>
  </si>
  <si>
    <t>ZIVO BIOSCIENCE INC</t>
  </si>
  <si>
    <t>ZIVO US</t>
  </si>
  <si>
    <t>FIGS US Equity</t>
  </si>
  <si>
    <t>FIGS INC-CLASS A</t>
  </si>
  <si>
    <t>05/27/2021</t>
  </si>
  <si>
    <t>FIGS US</t>
  </si>
  <si>
    <t>Apparel, Accessories &amp; Luxury Goods</t>
  </si>
  <si>
    <t>DAWN US Equity</t>
  </si>
  <si>
    <t>DAY ONE BIOPHARMACEUTICALS I</t>
  </si>
  <si>
    <t>DAWN US</t>
  </si>
  <si>
    <t>NBXG US Equity</t>
  </si>
  <si>
    <t>NEUBERGER NEXT GENERATION CO</t>
  </si>
  <si>
    <t>NBXG</t>
  </si>
  <si>
    <t>OMIC US Equity</t>
  </si>
  <si>
    <t>SINGULAR GENOMICS SYSTEMS IN</t>
  </si>
  <si>
    <t>OMIC US</t>
  </si>
  <si>
    <t>FLYW US Equity</t>
  </si>
  <si>
    <t>FLYWIRE CORP-VOTING</t>
  </si>
  <si>
    <t>05/26/2021</t>
  </si>
  <si>
    <t>FLYW US</t>
  </si>
  <si>
    <t>PAY US Equity</t>
  </si>
  <si>
    <t>PAYMENTUS HOLDINGS INC-A</t>
  </si>
  <si>
    <t>PAY US</t>
  </si>
  <si>
    <t>8181818D US Equity</t>
  </si>
  <si>
    <t>SENTI BIOSCIENCES INC</t>
  </si>
  <si>
    <t>8181818D US</t>
  </si>
  <si>
    <t>BEEP US Equity</t>
  </si>
  <si>
    <t>MOBILE INFRASTRUCTURE CORP</t>
  </si>
  <si>
    <t>05/25/2021</t>
  </si>
  <si>
    <t>BEEP US</t>
  </si>
  <si>
    <t>Commercial Services &amp; Supplies</t>
  </si>
  <si>
    <t>Environmental &amp; Facilities Services</t>
  </si>
  <si>
    <t>PCOR US Equity</t>
  </si>
  <si>
    <t>PROCORE TECHNOLOGIES INC</t>
  </si>
  <si>
    <t>05/20/2021</t>
  </si>
  <si>
    <t>PCOR US</t>
  </si>
  <si>
    <t>GOGRIDSD SS Equity</t>
  </si>
  <si>
    <t>SMART WIRES TECHNOLOGY-SDR</t>
  </si>
  <si>
    <t>05/18/2021</t>
  </si>
  <si>
    <t>GOGRIDSD SS</t>
  </si>
  <si>
    <t>VERA US Equity</t>
  </si>
  <si>
    <t>VERA THERAPEUTICS INC</t>
  </si>
  <si>
    <t>05/14/2021</t>
  </si>
  <si>
    <t>VERA US</t>
  </si>
  <si>
    <t>DBGI US Equity</t>
  </si>
  <si>
    <t>DIGITAL BRANDS GROUP INC</t>
  </si>
  <si>
    <t>DBGI US</t>
  </si>
  <si>
    <t>OSI/U US Equity</t>
  </si>
  <si>
    <t>OSIRIS ACQUISITION CORP</t>
  </si>
  <si>
    <t>OSI/U US</t>
  </si>
  <si>
    <t>IPW US Equity</t>
  </si>
  <si>
    <t>IPOWER INC</t>
  </si>
  <si>
    <t>05/12/2021</t>
  </si>
  <si>
    <t>IPW US</t>
  </si>
  <si>
    <t>ZSTK US Equity</t>
  </si>
  <si>
    <t>ZEROSTACK CORP</t>
  </si>
  <si>
    <t>05/11/2021</t>
  </si>
  <si>
    <t>ZSTK US</t>
  </si>
  <si>
    <t>Health Care Distributors</t>
  </si>
  <si>
    <t>BWMN US Equity</t>
  </si>
  <si>
    <t>BOWMAN CONSULTING GROUP LTD</t>
  </si>
  <si>
    <t>05/07/2021</t>
  </si>
  <si>
    <t>BWMN US</t>
  </si>
  <si>
    <t>Construction &amp; Engineering</t>
  </si>
  <si>
    <t>TRML US Equity</t>
  </si>
  <si>
    <t>TOURMALINE BIO INC</t>
  </si>
  <si>
    <t>TRML US</t>
  </si>
  <si>
    <t>ANEB US Equity</t>
  </si>
  <si>
    <t>ANEBULO PHARMACEUTICALS INC</t>
  </si>
  <si>
    <t>ANEB US</t>
  </si>
  <si>
    <t>FSBC US Equity</t>
  </si>
  <si>
    <t>FIVE STAR BANCORP</t>
  </si>
  <si>
    <t>05/05/2021</t>
  </si>
  <si>
    <t>FSBC US</t>
  </si>
  <si>
    <t>HNST US Equity</t>
  </si>
  <si>
    <t>HONEST CO INC/THE</t>
  </si>
  <si>
    <t>HNST US</t>
  </si>
  <si>
    <t>WBSR US Equity</t>
  </si>
  <si>
    <t>WEBSTAR TECHNOLOGY GROUP INC</t>
  </si>
  <si>
    <t>05/04/2021</t>
  </si>
  <si>
    <t>WBSR US</t>
  </si>
  <si>
    <t>AAWH/U CN Equity</t>
  </si>
  <si>
    <t>ASCEND WELLNESS HOLDINGS-A</t>
  </si>
  <si>
    <t>AAWH/U CN</t>
  </si>
  <si>
    <t>ALFIQ US Equity</t>
  </si>
  <si>
    <t>ALFI INC</t>
  </si>
  <si>
    <t>05/03/2021</t>
  </si>
  <si>
    <t>ALFIQ US</t>
  </si>
  <si>
    <t>HOWL US Equity</t>
  </si>
  <si>
    <t>WEREWOLF THERAPEUTICS INC</t>
  </si>
  <si>
    <t>04/30/2021</t>
  </si>
  <si>
    <t>HOWL US</t>
  </si>
  <si>
    <t>AVAH US Equity</t>
  </si>
  <si>
    <t>AVEANNA HEALTHCARE HOLDINGS</t>
  </si>
  <si>
    <t>04/29/2021</t>
  </si>
  <si>
    <t>AVAH US</t>
  </si>
  <si>
    <t>EDR US Equity</t>
  </si>
  <si>
    <t>ENDEAVOR GROUP HOLD-CLASS A</t>
  </si>
  <si>
    <t>EDR US</t>
  </si>
  <si>
    <t>PRVA US Equity</t>
  </si>
  <si>
    <t>PRIVIA HEALTH GROUP INC</t>
  </si>
  <si>
    <t>PRVA US</t>
  </si>
  <si>
    <t>FTCI US Equity</t>
  </si>
  <si>
    <t>FTC SOLAR INC</t>
  </si>
  <si>
    <t>04/28/2021</t>
  </si>
  <si>
    <t>FTCI US</t>
  </si>
  <si>
    <t>NPCT US Equity</t>
  </si>
  <si>
    <t>NUVEEN CORE PLUS IMPACT</t>
  </si>
  <si>
    <t>NPCT</t>
  </si>
  <si>
    <t>IMPLQ US Equity</t>
  </si>
  <si>
    <t>IPI LEGACY LIQUIDATION CO</t>
  </si>
  <si>
    <t>04/23/2021</t>
  </si>
  <si>
    <t>IMPLQ US</t>
  </si>
  <si>
    <t>TMCI US Equity</t>
  </si>
  <si>
    <t>TREACE MEDICAL CONCEPTS INC</t>
  </si>
  <si>
    <t>TMCI US</t>
  </si>
  <si>
    <t>2538060D US Equity</t>
  </si>
  <si>
    <t>RAIN ONCOLOGY INC</t>
  </si>
  <si>
    <t>2538060D US</t>
  </si>
  <si>
    <t>AGTI US Equity</t>
  </si>
  <si>
    <t>AGILITI INC</t>
  </si>
  <si>
    <t>AGTI US</t>
  </si>
  <si>
    <t>SWIM US Equity</t>
  </si>
  <si>
    <t>LATHAM GROUP INC</t>
  </si>
  <si>
    <t>SWIM US</t>
  </si>
  <si>
    <t>NPCE US Equity</t>
  </si>
  <si>
    <t>NEUROPACE INC</t>
  </si>
  <si>
    <t>04/22/2021</t>
  </si>
  <si>
    <t>NPCE US</t>
  </si>
  <si>
    <t>2587124D US Equity</t>
  </si>
  <si>
    <t>ZYMERGEN INC</t>
  </si>
  <si>
    <t>2587124D US</t>
  </si>
  <si>
    <t>KNBE US Equity</t>
  </si>
  <si>
    <t>KNOWBE4 INC-A</t>
  </si>
  <si>
    <t>KNBE US</t>
  </si>
  <si>
    <t>PATH US Equity</t>
  </si>
  <si>
    <t>UIPATH INC - CLASS A</t>
  </si>
  <si>
    <t>04/21/2021</t>
  </si>
  <si>
    <t>PATH US</t>
  </si>
  <si>
    <t>DV US Equity</t>
  </si>
  <si>
    <t>DOUBLEVERIFY HOLDINGS INC</t>
  </si>
  <si>
    <t>DV US</t>
  </si>
  <si>
    <t>Advertising</t>
  </si>
  <si>
    <t>SKYT US Equity</t>
  </si>
  <si>
    <t>SKYWATER TECHNOLOGY INC</t>
  </si>
  <si>
    <t>SKYT US</t>
  </si>
  <si>
    <t>TRKAQ US Equity</t>
  </si>
  <si>
    <t>TRKA MEDIA GROUP INC</t>
  </si>
  <si>
    <t>04/20/2021</t>
  </si>
  <si>
    <t>TRKAQ US</t>
  </si>
  <si>
    <t>AKYA US Equity</t>
  </si>
  <si>
    <t>AKOYA BIOSCIENCES INC</t>
  </si>
  <si>
    <t>04/16/2021</t>
  </si>
  <si>
    <t>AKYA US</t>
  </si>
  <si>
    <t>RXRX US Equity</t>
  </si>
  <si>
    <t>RECURSION PHARMACEUTICALS-A</t>
  </si>
  <si>
    <t>RXRX US</t>
  </si>
  <si>
    <t>BMEA US Equity</t>
  </si>
  <si>
    <t>BIOMEA FUSION INC</t>
  </si>
  <si>
    <t>BMEA US</t>
  </si>
  <si>
    <t>APP US Equity</t>
  </si>
  <si>
    <t>APPLOVIN CORP-CLASS A</t>
  </si>
  <si>
    <t>04/15/2021</t>
  </si>
  <si>
    <t>APP US</t>
  </si>
  <si>
    <t>AGL US Equity</t>
  </si>
  <si>
    <t>AGILON HEALTH INC</t>
  </si>
  <si>
    <t>AGL US</t>
  </si>
  <si>
    <t>KRT US Equity</t>
  </si>
  <si>
    <t>KARAT PACKAGING INC</t>
  </si>
  <si>
    <t>KRT US</t>
  </si>
  <si>
    <t>MBBC US Equity</t>
  </si>
  <si>
    <t>MARATHON BANCORP INC</t>
  </si>
  <si>
    <t>MBBC US</t>
  </si>
  <si>
    <t>EBET US Equity</t>
  </si>
  <si>
    <t>EBET INC</t>
  </si>
  <si>
    <t>EBET US</t>
  </si>
  <si>
    <t>Casinos &amp; Gaming</t>
  </si>
  <si>
    <t>TSPH US Equity</t>
  </si>
  <si>
    <t>CREATEAI HOLDINGS INC</t>
  </si>
  <si>
    <t>TSPH US</t>
  </si>
  <si>
    <t>Cargo Ground Transportation</t>
  </si>
  <si>
    <t>ALKT US Equity</t>
  </si>
  <si>
    <t>ALKAMI TECHNOLOGY INC</t>
  </si>
  <si>
    <t>04/14/2021</t>
  </si>
  <si>
    <t>ALKT US</t>
  </si>
  <si>
    <t>YTPG US Equity</t>
  </si>
  <si>
    <t>TPG PACE BENEFICIAL II COR-A</t>
  </si>
  <si>
    <t>YTPG US</t>
  </si>
  <si>
    <t>TCVA US Equity</t>
  </si>
  <si>
    <t>TCV ACQUISITION CORP-A</t>
  </si>
  <si>
    <t>TCVA US</t>
  </si>
  <si>
    <t>OKUR US Equity</t>
  </si>
  <si>
    <t>ONKURE THERAPEUTICS INC-A</t>
  </si>
  <si>
    <t>04/09/2021</t>
  </si>
  <si>
    <t>OKUR US</t>
  </si>
  <si>
    <t>TPGS US Equity</t>
  </si>
  <si>
    <t>TPG PACE SOLUTIONS CORP</t>
  </si>
  <si>
    <t>TPGS US</t>
  </si>
  <si>
    <t>PANA US Equity</t>
  </si>
  <si>
    <t>PANACEA ACQUISITION CORPII-A</t>
  </si>
  <si>
    <t>04/07/2021</t>
  </si>
  <si>
    <t>PANA US</t>
  </si>
  <si>
    <t>ACBAU US Equity</t>
  </si>
  <si>
    <t>ACE GLOBAL BUSINESS ACQUISIT</t>
  </si>
  <si>
    <t>04/06/2021</t>
  </si>
  <si>
    <t>ACBAU US</t>
  </si>
  <si>
    <t>ULCC US Equity</t>
  </si>
  <si>
    <t>FRONTIER GROUP HOLDINGS INC</t>
  </si>
  <si>
    <t>04/01/2021</t>
  </si>
  <si>
    <t>ULCC US</t>
  </si>
  <si>
    <t>Passenger Airlines</t>
  </si>
  <si>
    <t>COMP US Equity</t>
  </si>
  <si>
    <t>COMPASS INC - CLASS A</t>
  </si>
  <si>
    <t>COMP US</t>
  </si>
  <si>
    <t>Real Estate Management &amp; Development</t>
  </si>
  <si>
    <t>Real Estate Services</t>
  </si>
  <si>
    <t>COUR US Equity</t>
  </si>
  <si>
    <t>COURSERA INC</t>
  </si>
  <si>
    <t>03/31/2021</t>
  </si>
  <si>
    <t>COUR US</t>
  </si>
  <si>
    <t>TWOA US Equity</t>
  </si>
  <si>
    <t>TWO - CLASS A</t>
  </si>
  <si>
    <t>03/30/2021</t>
  </si>
  <si>
    <t>TWOA US</t>
  </si>
  <si>
    <t>TDUP US Equity</t>
  </si>
  <si>
    <t>THREDUP INC - CLASS A</t>
  </si>
  <si>
    <t>03/26/2021</t>
  </si>
  <si>
    <t>TDUP US</t>
  </si>
  <si>
    <t>EWTX US Equity</t>
  </si>
  <si>
    <t>EDGEWISE THERAPEUTICS INC</t>
  </si>
  <si>
    <t>EWTX US</t>
  </si>
  <si>
    <t>DSGN US Equity</t>
  </si>
  <si>
    <t>DESIGN THERAPEUTICS INC</t>
  </si>
  <si>
    <t>DSGN US</t>
  </si>
  <si>
    <t>IMA US Equity</t>
  </si>
  <si>
    <t>IMAGENEBIO INC</t>
  </si>
  <si>
    <t>IMA US</t>
  </si>
  <si>
    <t>ALHC US Equity</t>
  </si>
  <si>
    <t>ALIGNMENT HEALTHCARE INC</t>
  </si>
  <si>
    <t>ALHC US</t>
  </si>
  <si>
    <t>Managed Health Care</t>
  </si>
  <si>
    <t>BTX US Equity</t>
  </si>
  <si>
    <t>BLACKROCK TECH &amp; PRIV EQTY</t>
  </si>
  <si>
    <t>BTX</t>
  </si>
  <si>
    <t>CRCT US Equity</t>
  </si>
  <si>
    <t>CRICUT INC - CLASS A</t>
  </si>
  <si>
    <t>03/25/2021</t>
  </si>
  <si>
    <t>CRCT US</t>
  </si>
  <si>
    <t>SEMR US Equity</t>
  </si>
  <si>
    <t>SEMRUSH HOLDINGS INC-A</t>
  </si>
  <si>
    <t>SEMR US</t>
  </si>
  <si>
    <t>DSEY US Equity</t>
  </si>
  <si>
    <t>DIVERSEY HOLDINGS LTD</t>
  </si>
  <si>
    <t>DSEY US</t>
  </si>
  <si>
    <t>VZIO US Equity</t>
  </si>
  <si>
    <t>VIZIO HOLDING CORP-A</t>
  </si>
  <si>
    <t>VZIO US</t>
  </si>
  <si>
    <t>WMPN US Equity</t>
  </si>
  <si>
    <t>WILLIAM PENN BANCORP</t>
  </si>
  <si>
    <t>WMPN US</t>
  </si>
  <si>
    <t>ACVA US Equity</t>
  </si>
  <si>
    <t>ACV AUCTIONS INC-A</t>
  </si>
  <si>
    <t>03/24/2021</t>
  </si>
  <si>
    <t>ACVA US</t>
  </si>
  <si>
    <t>Diversified Support Services</t>
  </si>
  <si>
    <t>NXDR US Equity</t>
  </si>
  <si>
    <t>NEXTDOOR HOLDINGS INC</t>
  </si>
  <si>
    <t>NXDR US</t>
  </si>
  <si>
    <t>KVSC US Equity</t>
  </si>
  <si>
    <t>KHOSLA VENTURES ACQUISITIO-A</t>
  </si>
  <si>
    <t>KVSC US</t>
  </si>
  <si>
    <t>DOCN US Equity</t>
  </si>
  <si>
    <t>DIGITALOCEAN HOLDINGS INC</t>
  </si>
  <si>
    <t>DOCN US</t>
  </si>
  <si>
    <t>MOVE US Equity</t>
  </si>
  <si>
    <t>CORVEX INC</t>
  </si>
  <si>
    <t>03/23/2021</t>
  </si>
  <si>
    <t>MOVE US</t>
  </si>
  <si>
    <t>Technology Hardware, Storage &amp; Peripherals</t>
  </si>
  <si>
    <t>GLHAU US Equity</t>
  </si>
  <si>
    <t>GLASS HOUSES ACQUISITION COR</t>
  </si>
  <si>
    <t>GLHAU US</t>
  </si>
  <si>
    <t>DGNU US Equity</t>
  </si>
  <si>
    <t>DRAGONEER GROWTH OPP III-A</t>
  </si>
  <si>
    <t>DGNU US</t>
  </si>
  <si>
    <t>SCTH US Equity</t>
  </si>
  <si>
    <t>SECURETECH INNOVATIONS INC</t>
  </si>
  <si>
    <t>03/22/2021</t>
  </si>
  <si>
    <t>SCTH US</t>
  </si>
  <si>
    <t>Automobile Components</t>
  </si>
  <si>
    <t>Automotive Parts &amp; Equipment</t>
  </si>
  <si>
    <t>FNCHQ US Equity</t>
  </si>
  <si>
    <t>FINCH THERAPEUTICS GROUP INC</t>
  </si>
  <si>
    <t>03/19/2021</t>
  </si>
  <si>
    <t>FNCHQ US</t>
  </si>
  <si>
    <t>AFCG US Equity</t>
  </si>
  <si>
    <t>ADVANCED FLOWER CAPITAL INC</t>
  </si>
  <si>
    <t>AFCG US</t>
  </si>
  <si>
    <t>LDHAU US Equity</t>
  </si>
  <si>
    <t>LDH GROWTH CORP I</t>
  </si>
  <si>
    <t>LDHAU US</t>
  </si>
  <si>
    <t>TIL US Equity</t>
  </si>
  <si>
    <t>INSTIL BIO INC</t>
  </si>
  <si>
    <t>TIL US</t>
  </si>
  <si>
    <t>CNTB US Equity</t>
  </si>
  <si>
    <t>CONNECT BIOPHARMA HOLDINGS L</t>
  </si>
  <si>
    <t>CNTB US</t>
  </si>
  <si>
    <t>GANX US Equity</t>
  </si>
  <si>
    <t>GAIN THERAPEUTICS INC</t>
  </si>
  <si>
    <t>03/18/2021</t>
  </si>
  <si>
    <t>GANX US</t>
  </si>
  <si>
    <t>VEI US Equity</t>
  </si>
  <si>
    <t>VINE ENERGY INC - CLASS A</t>
  </si>
  <si>
    <t>VEI US</t>
  </si>
  <si>
    <t>NAPA US Equity</t>
  </si>
  <si>
    <t>DUCKHORN PORTFOLIO INC/THE</t>
  </si>
  <si>
    <t>NAPA US</t>
  </si>
  <si>
    <t>REVHU US Equity</t>
  </si>
  <si>
    <t>REVOLUTION HEALTHCARE ACQUIS</t>
  </si>
  <si>
    <t>REVHU US</t>
  </si>
  <si>
    <t>SNCY US Equity</t>
  </si>
  <si>
    <t>SUN COUNTRY AIRLINES HOLDING</t>
  </si>
  <si>
    <t>03/17/2021</t>
  </si>
  <si>
    <t>SNCY US</t>
  </si>
  <si>
    <t>OLO US Equity</t>
  </si>
  <si>
    <t>OLO INC - CLASS A</t>
  </si>
  <si>
    <t>OLO US</t>
  </si>
  <si>
    <t>KSICU US Equity</t>
  </si>
  <si>
    <t>KADEM SUSTAINABLE IMPACT COR</t>
  </si>
  <si>
    <t>KSICU US</t>
  </si>
  <si>
    <t>950220 KS Equity</t>
  </si>
  <si>
    <t>NEOIMMUNETECH INC-KDR</t>
  </si>
  <si>
    <t>03/16/2021</t>
  </si>
  <si>
    <t>950220 KS</t>
  </si>
  <si>
    <t>RXDX US Equity</t>
  </si>
  <si>
    <t>PROMETHEUS BIOSCIENCES INC</t>
  </si>
  <si>
    <t>03/12/2021</t>
  </si>
  <si>
    <t>RXDX US</t>
  </si>
  <si>
    <t>LBPH US Equity</t>
  </si>
  <si>
    <t>LONGBOARD PHARMACEUTICALS IN</t>
  </si>
  <si>
    <t>LBPH US</t>
  </si>
  <si>
    <t>JOANQ US Equity</t>
  </si>
  <si>
    <t>JOANN INC</t>
  </si>
  <si>
    <t>JOANQ US</t>
  </si>
  <si>
    <t>HAYW US Equity</t>
  </si>
  <si>
    <t>HAYWARD HOLDINGS INC</t>
  </si>
  <si>
    <t>HAYW US</t>
  </si>
  <si>
    <t>Building Products</t>
  </si>
  <si>
    <t>CPNG US Equity</t>
  </si>
  <si>
    <t>COUPANG INC</t>
  </si>
  <si>
    <t>03/11/2021</t>
  </si>
  <si>
    <t>CPNG US</t>
  </si>
  <si>
    <t>VAQC US Equity</t>
  </si>
  <si>
    <t>VECTOR ACQUISITION CORP II-A</t>
  </si>
  <si>
    <t>03/10/2021</t>
  </si>
  <si>
    <t>VAQC US</t>
  </si>
  <si>
    <t>SVFB US Equity</t>
  </si>
  <si>
    <t>SVF INVESTMENT CORP 2-CLS A</t>
  </si>
  <si>
    <t>03/09/2021</t>
  </si>
  <si>
    <t>SVFB US</t>
  </si>
  <si>
    <t>SYM US Equity</t>
  </si>
  <si>
    <t>SYMBOTIC INC</t>
  </si>
  <si>
    <t>SYM US</t>
  </si>
  <si>
    <t>Machinery</t>
  </si>
  <si>
    <t>Industrial Machinery &amp; Supplies &amp; Components</t>
  </si>
  <si>
    <t>TBLD LN Equity</t>
  </si>
  <si>
    <t>TINYBUILD INC</t>
  </si>
  <si>
    <t>TBLD LN</t>
  </si>
  <si>
    <t>GWYGU US Equity</t>
  </si>
  <si>
    <t>GATEWAY GARAGE PARTNERS LLC</t>
  </si>
  <si>
    <t>GWYGU US</t>
  </si>
  <si>
    <t>LHAA US Equity</t>
  </si>
  <si>
    <t>LERER HIPPEAU ACQUISITION-A</t>
  </si>
  <si>
    <t>03/05/2021</t>
  </si>
  <si>
    <t>LHAA US</t>
  </si>
  <si>
    <t>INNV US Equity</t>
  </si>
  <si>
    <t>INNOVAGE HOLDING CORP</t>
  </si>
  <si>
    <t>03/04/2021</t>
  </si>
  <si>
    <t>INNV US</t>
  </si>
  <si>
    <t>KVSA US Equity</t>
  </si>
  <si>
    <t>KHOSLA VENTURES ACQUISITION</t>
  </si>
  <si>
    <t>KVSA US</t>
  </si>
  <si>
    <t>OSCR US Equity</t>
  </si>
  <si>
    <t>OSCAR HEALTH INC - CLASS A</t>
  </si>
  <si>
    <t>03/03/2021</t>
  </si>
  <si>
    <t>OSCR US</t>
  </si>
  <si>
    <t>Life &amp; Health Insurance</t>
  </si>
  <si>
    <t>LVCE US Equity</t>
  </si>
  <si>
    <t>LIVECARE INC</t>
  </si>
  <si>
    <t>03/01/2021</t>
  </si>
  <si>
    <t>LVCE US</t>
  </si>
  <si>
    <t>ARYD US Equity</t>
  </si>
  <si>
    <t>ARYA SCIENCES ACQUISITION-A</t>
  </si>
  <si>
    <t>02/26/2021</t>
  </si>
  <si>
    <t>ARYD US</t>
  </si>
  <si>
    <t>RFMZ US Equity</t>
  </si>
  <si>
    <t>RIVERNORTH FLEX MUNI II</t>
  </si>
  <si>
    <t>02/24/2021</t>
  </si>
  <si>
    <t>RFMZ</t>
  </si>
  <si>
    <t>XYBN CN Equity</t>
  </si>
  <si>
    <t>XYBION DIGITAL INC</t>
  </si>
  <si>
    <t>02/22/2021</t>
  </si>
  <si>
    <t>XYBN CN</t>
  </si>
  <si>
    <t>TGCB US Equity</t>
  </si>
  <si>
    <t>TEGO CYBER INC</t>
  </si>
  <si>
    <t>02/19/2021</t>
  </si>
  <si>
    <t>TGCB US</t>
  </si>
  <si>
    <t>HUG PW Equity</t>
  </si>
  <si>
    <t>HUUUGE INC</t>
  </si>
  <si>
    <t>HUG PW</t>
  </si>
  <si>
    <t>CDXX-U/U CN Equity</t>
  </si>
  <si>
    <t>CHOICE CONSOLIDATION CORP</t>
  </si>
  <si>
    <t>CDXX-U/U CN</t>
  </si>
  <si>
    <t>VRPX US Equity</t>
  </si>
  <si>
    <t>VIRPAX PHARMACEUTICALS INC</t>
  </si>
  <si>
    <t>02/17/2021</t>
  </si>
  <si>
    <t>VRPX US</t>
  </si>
  <si>
    <t>PRDS US Equity</t>
  </si>
  <si>
    <t>PARDES BIOSCIENCES LLC</t>
  </si>
  <si>
    <t>PRDS US</t>
  </si>
  <si>
    <t>ABGI US Equity</t>
  </si>
  <si>
    <t>ABG ACQUISITION CORP I - A</t>
  </si>
  <si>
    <t>ABGI US</t>
  </si>
  <si>
    <t>NEXI US Equity</t>
  </si>
  <si>
    <t>NEXIMMUNE INC</t>
  </si>
  <si>
    <t>02/12/2021</t>
  </si>
  <si>
    <t>NEXI US</t>
  </si>
  <si>
    <t>DBTX US Equity</t>
  </si>
  <si>
    <t>DECIBEL THERAPEUTICS INC</t>
  </si>
  <si>
    <t>DBTX US</t>
  </si>
  <si>
    <t>TLIS US Equity</t>
  </si>
  <si>
    <t>TALIS BIOMEDICAL CORP</t>
  </si>
  <si>
    <t>TLIS US</t>
  </si>
  <si>
    <t>LGVN US Equity</t>
  </si>
  <si>
    <t>LONGEVERON INC-A</t>
  </si>
  <si>
    <t>LGVN US</t>
  </si>
  <si>
    <t>LDI US Equity</t>
  </si>
  <si>
    <t>LOANDEPOT INC -CLASS A</t>
  </si>
  <si>
    <t>02/11/2021</t>
  </si>
  <si>
    <t>LDI US</t>
  </si>
  <si>
    <t>BVS US Equity</t>
  </si>
  <si>
    <t>BIOVENTUS INC - A</t>
  </si>
  <si>
    <t>BVS US</t>
  </si>
  <si>
    <t>APR US Equity</t>
  </si>
  <si>
    <t>APRIA INC</t>
  </si>
  <si>
    <t>APR US</t>
  </si>
  <si>
    <t>SGFY US Equity</t>
  </si>
  <si>
    <t>SIGNIFY HEALTH INC -CLASS A</t>
  </si>
  <si>
    <t>SGFY US</t>
  </si>
  <si>
    <t>BMBL US Equity</t>
  </si>
  <si>
    <t>BUMBLE INC-A</t>
  </si>
  <si>
    <t>BMBL US</t>
  </si>
  <si>
    <t>GRI US Equity</t>
  </si>
  <si>
    <t>GRI BIO INC</t>
  </si>
  <si>
    <t>02/10/2021</t>
  </si>
  <si>
    <t>GRI US</t>
  </si>
  <si>
    <t>DSP US Equity</t>
  </si>
  <si>
    <t>VIANT TECHNOLOGY INC-A</t>
  </si>
  <si>
    <t>DSP US</t>
  </si>
  <si>
    <t>EZRA US Equity</t>
  </si>
  <si>
    <t>RELIANCE GLOBAL GROUP INC</t>
  </si>
  <si>
    <t>02/09/2021</t>
  </si>
  <si>
    <t>EZRA US</t>
  </si>
  <si>
    <t>PICCU US Equity</t>
  </si>
  <si>
    <t>PIVOTAL INVESTMENT CORP III</t>
  </si>
  <si>
    <t>PICCU US</t>
  </si>
  <si>
    <t>ELTX US Equity</t>
  </si>
  <si>
    <t>ELICIO THERAPEUTICS INC</t>
  </si>
  <si>
    <t>02/05/2021</t>
  </si>
  <si>
    <t>ELTX US</t>
  </si>
  <si>
    <t>TERN US Equity</t>
  </si>
  <si>
    <t>TERNS PHARMACEUTICALS INC</t>
  </si>
  <si>
    <t>TERN US</t>
  </si>
  <si>
    <t>LHDXQ US Equity</t>
  </si>
  <si>
    <t>LUCIRA HEALTH INC</t>
  </si>
  <si>
    <t>LHDXQ US</t>
  </si>
  <si>
    <t>BOLT US Equity</t>
  </si>
  <si>
    <t>BOLT BIOTHERAPEUTICS INC</t>
  </si>
  <si>
    <t>BOLT US</t>
  </si>
  <si>
    <t>VOR US Equity</t>
  </si>
  <si>
    <t>VOR BIOPHARMA INC</t>
  </si>
  <si>
    <t>VOR US</t>
  </si>
  <si>
    <t>SMRT US Equity</t>
  </si>
  <si>
    <t>SMARTRENT INC</t>
  </si>
  <si>
    <t>SMRT US</t>
  </si>
  <si>
    <t>Electronic Equipment, Instruments &amp; Components</t>
  </si>
  <si>
    <t>Electronic Equipment &amp; Instruments</t>
  </si>
  <si>
    <t>LABP US Equity</t>
  </si>
  <si>
    <t>LANDOS BIOPHARMA INC</t>
  </si>
  <si>
    <t>02/04/2021</t>
  </si>
  <si>
    <t>LABP US</t>
  </si>
  <si>
    <t>SANA US Equity</t>
  </si>
  <si>
    <t>SANA BIOTECHNOLOGY INC</t>
  </si>
  <si>
    <t>SANA US</t>
  </si>
  <si>
    <t>FTH US Equity</t>
  </si>
  <si>
    <t>FAETH THERAPEUTICS INC</t>
  </si>
  <si>
    <t>FTH US</t>
  </si>
  <si>
    <t>CUEN US Equity</t>
  </si>
  <si>
    <t>CUENTAS INC</t>
  </si>
  <si>
    <t>02/03/2021</t>
  </si>
  <si>
    <t>CUEN US</t>
  </si>
  <si>
    <t>Diversified Telecommunication Services</t>
  </si>
  <si>
    <t>Integrated Telecommunication Services</t>
  </si>
  <si>
    <t>ONTF US Equity</t>
  </si>
  <si>
    <t>ON24 INC</t>
  </si>
  <si>
    <t>ONTF US</t>
  </si>
  <si>
    <t>TRIN US Equity</t>
  </si>
  <si>
    <t>TRINITY CAPITAL INC</t>
  </si>
  <si>
    <t>01/29/2021</t>
  </si>
  <si>
    <t>TRIN US</t>
  </si>
  <si>
    <t>HMPT US Equity</t>
  </si>
  <si>
    <t>HOME POINT CAPITAL INC</t>
  </si>
  <si>
    <t>HMPT US</t>
  </si>
  <si>
    <t>BLUVF US Equity</t>
  </si>
  <si>
    <t>BLUERIVER ACQUISITION CORP</t>
  </si>
  <si>
    <t>BLUVF US</t>
  </si>
  <si>
    <t>XM US Equity</t>
  </si>
  <si>
    <t>QUALTRICS INTERNATIONAL-CL A</t>
  </si>
  <si>
    <t>01/28/2021</t>
  </si>
  <si>
    <t>XM US</t>
  </si>
  <si>
    <t>RYM US Equity</t>
  </si>
  <si>
    <t>RYTHM INC</t>
  </si>
  <si>
    <t>RYM US</t>
  </si>
  <si>
    <t>Agricultural &amp; Farm Machinery</t>
  </si>
  <si>
    <t>OCDX US Equity</t>
  </si>
  <si>
    <t>ORTHO CLINICAL DIAGNOSTICS H</t>
  </si>
  <si>
    <t>OCDX US</t>
  </si>
  <si>
    <t>PDO US Equity</t>
  </si>
  <si>
    <t>PIMCO DYNAMIC INCOME OPPORT</t>
  </si>
  <si>
    <t>01/27/2021</t>
  </si>
  <si>
    <t>PDO</t>
  </si>
  <si>
    <t>SHLS US Equity</t>
  </si>
  <si>
    <t>SHOALS TECHNOLOGIES GROUP -A</t>
  </si>
  <si>
    <t>SHLS US</t>
  </si>
  <si>
    <t>HYPR US Equity</t>
  </si>
  <si>
    <t>HYPERFINE INC</t>
  </si>
  <si>
    <t>HYPR US</t>
  </si>
  <si>
    <t>SKFG US Equity</t>
  </si>
  <si>
    <t>STARK FOCUS GROUP INC</t>
  </si>
  <si>
    <t>01/26/2021</t>
  </si>
  <si>
    <t>SKFG US</t>
  </si>
  <si>
    <t>BIOTU US Equity</t>
  </si>
  <si>
    <t>BIOTECH ACQUISITION CO</t>
  </si>
  <si>
    <t>BIOTU US</t>
  </si>
  <si>
    <t>SSAAU US Equity</t>
  </si>
  <si>
    <t>SCIENCE STRATEGIC ACQUISITIO</t>
  </si>
  <si>
    <t>SSAAU US</t>
  </si>
  <si>
    <t>COMS US Equity</t>
  </si>
  <si>
    <t>COMSOVEREIGN HOLDING CORP</t>
  </si>
  <si>
    <t>01/22/2021</t>
  </si>
  <si>
    <t>COMS US</t>
  </si>
  <si>
    <t>Communications Equipment</t>
  </si>
  <si>
    <t>MNTK US Equity</t>
  </si>
  <si>
    <t>MONTAUK RENEWABLES INC</t>
  </si>
  <si>
    <t>MNTK US</t>
  </si>
  <si>
    <t>Independent Power and Renewable Electricity Producers</t>
  </si>
  <si>
    <t>Renewable Electricity</t>
  </si>
  <si>
    <t>AFBI US Equity</t>
  </si>
  <si>
    <t>AFFINITY BANCSHARES INC</t>
  </si>
  <si>
    <t>01/21/2021</t>
  </si>
  <si>
    <t>AFBI US</t>
  </si>
  <si>
    <t>DFH US Equity</t>
  </si>
  <si>
    <t>DREAM FINDERS HOMES INC - A</t>
  </si>
  <si>
    <t>DFH US</t>
  </si>
  <si>
    <t>Homebuilding</t>
  </si>
  <si>
    <t>DRVN US Equity</t>
  </si>
  <si>
    <t>DRIVEN BRANDS HOLDINGS INC</t>
  </si>
  <si>
    <t>01/15/2021</t>
  </si>
  <si>
    <t>DRVN US</t>
  </si>
  <si>
    <t>Specialized Consumer Services</t>
  </si>
  <si>
    <t>TBA US Equity</t>
  </si>
  <si>
    <t>THOMA BRAVO ADVANTAGE-CL A</t>
  </si>
  <si>
    <t>TBA US</t>
  </si>
  <si>
    <t>POSH US Equity</t>
  </si>
  <si>
    <t>POSHMARK INC-CLASS A</t>
  </si>
  <si>
    <t>01/14/2021</t>
  </si>
  <si>
    <t>POSH US</t>
  </si>
  <si>
    <t>WOOF US Equity</t>
  </si>
  <si>
    <t>PETCO HEALTH AND WELLNESS CO</t>
  </si>
  <si>
    <t>WOOF US</t>
  </si>
  <si>
    <t>AFRM US Equity</t>
  </si>
  <si>
    <t>AFFIRM HOLDINGS INC</t>
  </si>
  <si>
    <t>01/13/2021</t>
  </si>
  <si>
    <t>AFRM US</t>
  </si>
  <si>
    <t>FINMU US Equity</t>
  </si>
  <si>
    <t>MARLIN TECHNOLOGY CORP</t>
  </si>
  <si>
    <t>FINMU US</t>
  </si>
  <si>
    <t>HLAHU US Equity</t>
  </si>
  <si>
    <t>HAMILTON LANE ALLIANCE HOLDI</t>
  </si>
  <si>
    <t>HLAHU US</t>
  </si>
  <si>
    <t>MSGM US Equity</t>
  </si>
  <si>
    <t>MOTORSPORT GAMES INC-A</t>
  </si>
  <si>
    <t>MSGM US</t>
  </si>
  <si>
    <t>DLCAU US Equity</t>
  </si>
  <si>
    <t>DEEP LAKE CAPITAL ACQUISITIO</t>
  </si>
  <si>
    <t>DLCAU US</t>
  </si>
  <si>
    <t>SWETU US Equity</t>
  </si>
  <si>
    <t>ATHLON ACQUISITION CORP</t>
  </si>
  <si>
    <t>01/12/2021</t>
  </si>
  <si>
    <t>SWETU US</t>
  </si>
  <si>
    <t>CGEM US Equity</t>
  </si>
  <si>
    <t>CULLINAN THERAPEUTICS INC</t>
  </si>
  <si>
    <t>01/08/2021</t>
  </si>
  <si>
    <t>CGEM US</t>
  </si>
  <si>
    <t>AGCB US Equity</t>
  </si>
  <si>
    <t>ALTIMETER GROWTH CORP 2-A</t>
  </si>
  <si>
    <t>01/07/2021</t>
  </si>
  <si>
    <t>AGCB US</t>
  </si>
  <si>
    <t>OMEG US Equity</t>
  </si>
  <si>
    <t>OMEGA ALPHA SPAC -CLASS A</t>
  </si>
  <si>
    <t>OMEG US</t>
  </si>
  <si>
    <t>The BLOOMBERG PROFESSIONAL service, BLOOMBERG Data and BLOOMBERG Order Management Systems (the "Services") are owned and distributed locally by Bloomberg Finance L.P. ("BFLP") and its subsidiaries in all jurisdictions other than Argentina, Bermuda, China, India, Japan and Korea (the "BLP Countries"). BFLP is a wholly-owned subsidiary of Bloomberg L.P. ("BLP"). BLP provides BFLP with all global marketing and operational support and service for the Services and distributes the Services either directly or through a non-BFLP subsidiary in the BLP Countries. The Services include electronic trading and order-routing services, which are available only to sophisticated institutional investors and only where necessary legal clearances have been obtained. BFLP, BLP and their affiliates do not provide investment advice or guarantee the accuracy of prices or information in the Services. Nothing on the Services shall constitute an offering of financial instruments by BFLP, BLP or their affiliates. BLOOMBERG, BLOOMBERG PROFESSIONAL, BLOOMBERG MARKET, BLOOMBERG NEWS, BLOOMBERG ANYWHERE, BLOOMBERG TRADEBOOK, BLOOMBERG BONDTRADER, BLOOMBERG TELEVISION, BLOOMBERG RADIO, BLOOMBERG PRESS and BLOOMBERG.COM are trademarks and service marks of BFLP, a Delaware limited partnership, or its subsidiaries.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</si>
</sst>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
    <numFmt numFmtId="165" formatCode="##0"/>
    <numFmt numFmtId="166" formatCode="#,##0.##"/>
    <numFmt numFmtId="167" formatCode="#,##0.###"/>
    <numFmt numFmtId="168" formatCode="mm/dd/yyyy"/>
  </numFmts>
  <fonts count="8" x14ac:knownFonts="1">
    <font>
      <sz val="11"/>
      <name val="Calibri"/>
    </font>
    <font>
      <sz val="18"/>
      <name val="Calibri"/>
      <family val="2"/>
    </font>
    <font>
      <b/>
      <sz val="12"/>
      <color rgb="FFFFFFFF"/>
      <name val="Calibri"/>
      <family val="2"/>
    </font>
    <font>
      <sz val="9"/>
      <name val="Calibri"/>
      <family val="2"/>
    </font>
    <font>
      <b/>
      <sz val="9"/>
      <name val="Calibri"/>
      <family val="2"/>
    </font>
    <font>
      <sz val="6"/>
      <name val="Calibri"/>
      <family val="2"/>
    </font>
    <font>
      <sz val="10"/>
      <name val="Arial"/>
      <family val="2"/>
    </font>
    <font>
      <b/>
      <sz val="10"/>
      <name val="Arial"/>
      <family val="2"/>
    </font>
  </fonts>
  <fills count="4">
    <fill>
      <patternFill patternType="none"/>
    </fill>
    <fill>
      <patternFill patternType="gray125"/>
    </fill>
    <fill>
      <patternFill patternType="solid">
        <fgColor rgb="FF93A183"/>
      </patternFill>
    </fill>
    <fill>
      <patternFill patternType="solid">
        <fgColor rgb="FFB8C2AD"/>
      </patternFill>
    </fill>
  </fills>
  <borders count="1">
    <border>
      <left/>
      <right/>
      <top/>
      <bottom/>
      <diagonal/>
    </border>
  </borders>
  <cellStyleXfs count="29">
    <xf numFmtId="0" fontId="0" fillId="0" borderId="0"/>
    <xf numFmtId="0" fontId="1" fillId="0" borderId="0">
      <alignment horizontal="left"/>
    </xf>
    <xf numFmtId="0" fontId="1" fillId="0" borderId="0">
      <alignment horizontal="left"/>
    </xf>
    <xf numFmtId="0" fontId="2" fillId="2" borderId="0">
      <alignment horizontal="left"/>
    </xf>
    <xf numFmtId="0" fontId="4" fillId="3" borderId="0">
      <alignment horizontal="center"/>
    </xf>
    <xf numFmtId="164" fontId="3" fillId="0" borderId="0"/>
    <xf numFmtId="164" fontId="4" fillId="0" borderId="0"/>
    <xf numFmtId="165" fontId="3" fillId="0" borderId="0"/>
    <xf numFmtId="166" fontId="3" fillId="0" borderId="0"/>
    <xf numFmtId="167" fontId="3" fillId="0" borderId="0"/>
    <xf numFmtId="165" fontId="4" fillId="0" borderId="0"/>
    <xf numFmtId="166" fontId="4" fillId="0" borderId="0"/>
    <xf numFmtId="167" fontId="4" fillId="0" borderId="0"/>
    <xf numFmtId="0" fontId="3" fillId="0" borderId="0"/>
    <xf numFmtId="0" fontId="4" fillId="0" borderId="0"/>
    <xf numFmtId="0" fontId="3" fillId="0" borderId="0">
      <alignment horizontal="right"/>
    </xf>
    <xf numFmtId="0" fontId="4" fillId="0" borderId="0">
      <alignment horizontal="right"/>
    </xf>
    <xf numFmtId="0" fontId="3" fillId="0" borderId="0">
      <alignment horizontal="left"/>
    </xf>
    <xf numFmtId="0" fontId="3" fillId="0" borderId="0">
      <alignment horizontal="right"/>
    </xf>
    <xf numFmtId="0" fontId="4" fillId="0" borderId="0">
      <alignment horizontal="left"/>
    </xf>
    <xf numFmtId="0" fontId="4" fillId="0" borderId="0">
      <alignment horizontal="right"/>
    </xf>
    <xf numFmtId="0" fontId="5" fillId="0" borderId="0">
      <alignment vertical="top" wrapText="1"/>
    </xf>
    <xf numFmtId="168" fontId="3" fillId="0" borderId="0">
      <alignment horizontal="left"/>
    </xf>
    <xf numFmtId="168" fontId="3" fillId="0" borderId="0">
      <alignment horizontal="right"/>
    </xf>
    <xf numFmtId="168" fontId="3" fillId="0" borderId="0">
      <alignment horizontal="left"/>
    </xf>
    <xf numFmtId="168" fontId="4" fillId="0" borderId="0">
      <alignment horizontal="left"/>
    </xf>
    <xf numFmtId="168" fontId="4" fillId="0" borderId="0">
      <alignment horizontal="right"/>
    </xf>
    <xf numFmtId="168" fontId="4" fillId="0" borderId="0">
      <alignment horizontal="left"/>
    </xf>
    <xf numFmtId="0" fontId="3" fillId="0" borderId="0"/>
  </cellStyleXfs>
  <cellXfs count="10">
    <xf numFmtId="0" fontId="0" fillId="0" borderId="0" xfId="0"/>
    <xf numFmtId="0" fontId="3" fillId="0" borderId="0" xfId="28"/>
    <xf numFmtId="0" fontId="3" fillId="0" borderId="0" xfId="28" applyAlignment="1">
      <alignment horizontal="left"/>
    </xf>
    <xf numFmtId="2" fontId="3" fillId="0" borderId="0" xfId="28" applyNumberFormat="1" applyAlignment="1">
      <alignment horizontal="right"/>
    </xf>
    <xf numFmtId="0" fontId="6" fillId="0" borderId="0" xfId="28" applyFont="1"/>
    <xf numFmtId="0" fontId="6" fillId="0" borderId="0" xfId="13" applyFont="1" applyAlignment="1">
      <alignment horizontal="left"/>
    </xf>
    <xf numFmtId="2" fontId="6" fillId="0" borderId="0" xfId="28" applyNumberFormat="1" applyFont="1" applyAlignment="1">
      <alignment horizontal="right"/>
    </xf>
    <xf numFmtId="0" fontId="6" fillId="0" borderId="0" xfId="28" applyFont="1" applyAlignment="1">
      <alignment horizontal="left"/>
    </xf>
    <xf numFmtId="0" fontId="7" fillId="3" borderId="0" xfId="4" applyFont="1">
      <alignment horizontal="center"/>
    </xf>
    <xf numFmtId="0" fontId="5" fillId="0" borderId="0" xfId="21">
      <alignment vertical="top" wrapText="1"/>
    </xf>
  </cellXfs>
  <cellStyles count="29">
    <cellStyle name="bolddate" xfId="25" xr:uid="{00000000-0005-0000-0000-000019000000}"/>
    <cellStyle name="boldleftdate" xfId="27" xr:uid="{00000000-0005-0000-0000-00001B000000}"/>
    <cellStyle name="boldnoDecimalDigits" xfId="10" xr:uid="{00000000-0005-0000-0000-00000A000000}"/>
    <cellStyle name="boldpercentage" xfId="6" xr:uid="{00000000-0005-0000-0000-000006000000}"/>
    <cellStyle name="boldrightdate" xfId="26" xr:uid="{00000000-0005-0000-0000-00001A000000}"/>
    <cellStyle name="boldthreeDecimalDigits" xfId="12" xr:uid="{00000000-0005-0000-0000-00000C000000}"/>
    <cellStyle name="boldtwoDecimalDigits" xfId="11" xr:uid="{00000000-0005-0000-0000-00000B000000}"/>
    <cellStyle name="date" xfId="22" xr:uid="{00000000-0005-0000-0000-000016000000}"/>
    <cellStyle name="defaultsheetstyle" xfId="28" xr:uid="{00000000-0005-0000-0000-00001C000000}"/>
    <cellStyle name="disclaimer" xfId="21" xr:uid="{00000000-0005-0000-0000-000015000000}"/>
    <cellStyle name="leftdate" xfId="24" xr:uid="{00000000-0005-0000-0000-000018000000}"/>
    <cellStyle name="leftplainBoldText" xfId="19" xr:uid="{00000000-0005-0000-0000-000013000000}"/>
    <cellStyle name="leftplainText" xfId="17" xr:uid="{00000000-0005-0000-0000-000011000000}"/>
    <cellStyle name="noDecimalDigits" xfId="7" xr:uid="{00000000-0005-0000-0000-000007000000}"/>
    <cellStyle name="Normal" xfId="0" builtinId="0"/>
    <cellStyle name="percentage" xfId="5" xr:uid="{00000000-0005-0000-0000-000005000000}"/>
    <cellStyle name="plainBoldText" xfId="14" xr:uid="{00000000-0005-0000-0000-00000E000000}"/>
    <cellStyle name="plainBoldValues" xfId="16" xr:uid="{00000000-0005-0000-0000-000010000000}"/>
    <cellStyle name="plainText" xfId="13" xr:uid="{00000000-0005-0000-0000-00000D000000}"/>
    <cellStyle name="plainValues" xfId="15" xr:uid="{00000000-0005-0000-0000-00000F000000}"/>
    <cellStyle name="rightdate" xfId="23" xr:uid="{00000000-0005-0000-0000-000017000000}"/>
    <cellStyle name="rightplainBoldText" xfId="20" xr:uid="{00000000-0005-0000-0000-000014000000}"/>
    <cellStyle name="rightplainText" xfId="18" xr:uid="{00000000-0005-0000-0000-000012000000}"/>
    <cellStyle name="sheetReportTitle" xfId="2" xr:uid="{00000000-0005-0000-0000-000002000000}"/>
    <cellStyle name="sheetTitle" xfId="1" xr:uid="{00000000-0005-0000-0000-000001000000}"/>
    <cellStyle name="tableHeader" xfId="3" xr:uid="{00000000-0005-0000-0000-000003000000}"/>
    <cellStyle name="tablesubHeader" xfId="4" xr:uid="{00000000-0005-0000-0000-000004000000}"/>
    <cellStyle name="threeDecimalDigits" xfId="9" xr:uid="{00000000-0005-0000-0000-000009000000}"/>
    <cellStyle name="twoDecimalDigits" xfId="8" xr:uid="{00000000-0005-0000-0000-00000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volatileDependencies.xml><?xml version="1.0" encoding="utf-8"?>
<volTypes xmlns="http://schemas.openxmlformats.org/spreadsheetml/2006/main">
  <volType type="realTimeData">
    <main first="bofaddin.rtdserver">
      <tp t="s">
        <v>#N/A N/A</v>
        <stp/>
        <stp>BDP|17500726968395016978</stp>
        <tr r="I296" s="1"/>
      </tp>
      <tp t="s">
        <v>#N/A N/A</v>
        <stp/>
        <stp>BDP|13011899332170764249</stp>
        <tr r="I140" s="1"/>
      </tp>
      <tp t="s">
        <v>#N/A N/A</v>
        <stp/>
        <stp>BDP|18438639676184082796</stp>
        <tr r="I285" s="1"/>
      </tp>
      <tp t="s">
        <v>#N/A N/A</v>
        <stp/>
        <stp>BDP|13195385325640165876</stp>
        <tr r="I26" s="1"/>
      </tp>
      <tp t="s">
        <v>#N/A N/A</v>
        <stp/>
        <stp>BDP|16235964949221656072</stp>
        <tr r="I145" s="1"/>
      </tp>
      <tp t="s">
        <v>#N/A N/A</v>
        <stp/>
        <stp>BDP|12720717939974052839</stp>
        <tr r="I167" s="1"/>
      </tp>
      <tp t="s">
        <v>#N/A N/A</v>
        <stp/>
        <stp>BDP|18317684238880997760</stp>
        <tr r="I50" s="1"/>
      </tp>
      <tp t="s">
        <v>#N/A N/A</v>
        <stp/>
        <stp>BDP|14133293011844196971</stp>
        <tr r="H123" s="1"/>
      </tp>
      <tp t="s">
        <v>#N/A N/A</v>
        <stp/>
        <stp>BDP|12718983725673058040</stp>
        <tr r="I5" s="1"/>
      </tp>
      <tp t="s">
        <v>#N/A N/A</v>
        <stp/>
        <stp>BDP|18217307244910549526</stp>
        <tr r="H350" s="1"/>
      </tp>
      <tp t="s">
        <v>#N/A N/A</v>
        <stp/>
        <stp>BDP|15134892079115548556</stp>
        <tr r="H419" s="1"/>
      </tp>
      <tp t="s">
        <v>#N/A N/A</v>
        <stp/>
        <stp>BDP|14717720442265297848</stp>
        <tr r="H15" s="1"/>
      </tp>
      <tp t="s">
        <v>#N/A N/A</v>
        <stp/>
        <stp>BDP|10848600949050416853</stp>
        <tr r="H55" s="1"/>
      </tp>
      <tp t="s">
        <v>#N/A N/A</v>
        <stp/>
        <stp>BDP|15050115762828885088</stp>
        <tr r="H411" s="1"/>
      </tp>
      <tp t="s">
        <v>#N/A N/A</v>
        <stp/>
        <stp>BDP|15066856884138002739</stp>
        <tr r="I51" s="1"/>
      </tp>
      <tp t="s">
        <v>#N/A N/A</v>
        <stp/>
        <stp>BDP|12781022597388262954</stp>
        <tr r="I302" s="1"/>
      </tp>
      <tp t="s">
        <v>#N/A N/A</v>
        <stp/>
        <stp>BDP|17609726314072117946</stp>
        <tr r="I408" s="1"/>
      </tp>
      <tp t="s">
        <v>#N/A N/A</v>
        <stp/>
        <stp>BDP|18035837470345234867</stp>
        <tr r="I111" s="1"/>
      </tp>
      <tp t="s">
        <v>#N/A N/A</v>
        <stp/>
        <stp>BDP|10253385790534384519</stp>
        <tr r="I337" s="1"/>
      </tp>
      <tp t="s">
        <v>#N/A N/A</v>
        <stp/>
        <stp>BDP|18204684013481152537</stp>
        <tr r="I196" s="1"/>
      </tp>
      <tp t="s">
        <v>#N/A N/A</v>
        <stp/>
        <stp>BDP|14341974893628833745</stp>
        <tr r="I385" s="1"/>
      </tp>
      <tp t="s">
        <v>#N/A N/A</v>
        <stp/>
        <stp>BDP|16830042460682141907</stp>
        <tr r="I187" s="1"/>
      </tp>
      <tp t="s">
        <v>#N/A N/A</v>
        <stp/>
        <stp>BDP|15439049603278776683</stp>
        <tr r="H260" s="1"/>
      </tp>
      <tp t="s">
        <v>#N/A N/A</v>
        <stp/>
        <stp>BDP|13095528689287088245</stp>
        <tr r="H113" s="1"/>
      </tp>
      <tp t="s">
        <v>#N/A N/A</v>
        <stp/>
        <stp>BDP|10126966276871568445</stp>
        <tr r="I77" s="1"/>
      </tp>
      <tp t="s">
        <v>#N/A N/A</v>
        <stp/>
        <stp>BDP|13339491068383356911</stp>
        <tr r="I354" s="1"/>
      </tp>
      <tp t="s">
        <v>#N/A N/A</v>
        <stp/>
        <stp>BDP|17735227855233246807</stp>
        <tr r="H89" s="1"/>
      </tp>
      <tp t="s">
        <v>#N/A N/A</v>
        <stp/>
        <stp>BDP|17432415921303288938</stp>
        <tr r="I45" s="1"/>
      </tp>
      <tp t="s">
        <v>#N/A N/A</v>
        <stp/>
        <stp>BDP|14771159452329117257</stp>
        <tr r="I193" s="1"/>
      </tp>
      <tp t="s">
        <v>#N/A N/A</v>
        <stp/>
        <stp>BDP|12790332814143285865</stp>
        <tr r="H277" s="1"/>
      </tp>
      <tp t="s">
        <v>#N/A N/A</v>
        <stp/>
        <stp>BDP|14340859872374748443</stp>
        <tr r="H90" s="1"/>
      </tp>
      <tp t="s">
        <v>#N/A N/A</v>
        <stp/>
        <stp>BDP|12024970712612738357</stp>
        <tr r="I158" s="1"/>
      </tp>
      <tp t="s">
        <v>#N/A N/A</v>
        <stp/>
        <stp>BDP|13907350442299879613</stp>
        <tr r="I204" s="1"/>
      </tp>
      <tp t="s">
        <v>#N/A N/A</v>
        <stp/>
        <stp>BDP|13783206199864177784</stp>
        <tr r="I57" s="1"/>
      </tp>
      <tp t="s">
        <v>#N/A N/A</v>
        <stp/>
        <stp>BDP|13249513142891357847</stp>
        <tr r="H158" s="1"/>
      </tp>
      <tp t="s">
        <v>#N/A N/A</v>
        <stp/>
        <stp>BDP|18134672074336740437</stp>
        <tr r="H52" s="1"/>
      </tp>
      <tp t="s">
        <v>#N/A N/A</v>
        <stp/>
        <stp>BDP|15195493794383206370</stp>
        <tr r="I21" s="1"/>
      </tp>
      <tp t="s">
        <v>#N/A N/A</v>
        <stp/>
        <stp>BDP|15832809732113402573</stp>
        <tr r="I131" s="1"/>
      </tp>
      <tp t="s">
        <v>#N/A N/A</v>
        <stp/>
        <stp>BDP|10769319170849948574</stp>
        <tr r="H327" s="1"/>
      </tp>
      <tp t="s">
        <v>#N/A N/A</v>
        <stp/>
        <stp>BDP|11539987025324864685</stp>
        <tr r="I172" s="1"/>
      </tp>
      <tp t="s">
        <v>#N/A N/A</v>
        <stp/>
        <stp>BDP|10257206693861251285</stp>
        <tr r="H305" s="1"/>
      </tp>
      <tp t="s">
        <v>#N/A N/A</v>
        <stp/>
        <stp>BDP|17161627385831579088</stp>
        <tr r="H63" s="1"/>
      </tp>
      <tp t="s">
        <v>#N/A N/A</v>
        <stp/>
        <stp>BDP|13931792188603786750</stp>
        <tr r="H116" s="1"/>
      </tp>
      <tp t="s">
        <v>#N/A N/A</v>
        <stp/>
        <stp>BDP|10160512526626872948</stp>
        <tr r="I343" s="1"/>
      </tp>
      <tp t="s">
        <v>#N/A N/A</v>
        <stp/>
        <stp>BDP|11716983168885457393</stp>
        <tr r="I303" s="1"/>
      </tp>
      <tp t="s">
        <v>#N/A N/A</v>
        <stp/>
        <stp>BDP|18356607362347487785</stp>
        <tr r="I434" s="1"/>
      </tp>
      <tp t="s">
        <v>#N/A N/A</v>
        <stp/>
        <stp>BDP|18356770768468009938</stp>
        <tr r="H53" s="1"/>
      </tp>
      <tp t="s">
        <v>#N/A N/A</v>
        <stp/>
        <stp>BDP|11792242379665723922</stp>
        <tr r="I305" s="1"/>
      </tp>
      <tp t="s">
        <v>#N/A N/A</v>
        <stp/>
        <stp>BDP|13914176692746510562</stp>
        <tr r="I325" s="1"/>
      </tp>
      <tp t="s">
        <v>#N/A N/A</v>
        <stp/>
        <stp>BDP|12570569725489853408</stp>
        <tr r="I314" s="1"/>
      </tp>
      <tp t="s">
        <v>#N/A N/A</v>
        <stp/>
        <stp>BDP|12576756099133472731</stp>
        <tr r="H83" s="1"/>
      </tp>
      <tp t="s">
        <v>#N/A N/A</v>
        <stp/>
        <stp>BDP|16131463672798258565</stp>
        <tr r="I267" s="1"/>
      </tp>
      <tp t="s">
        <v>#N/A N/A</v>
        <stp/>
        <stp>BDP|13114275097888088813</stp>
        <tr r="H125" s="1"/>
      </tp>
      <tp t="s">
        <v>#N/A N/A</v>
        <stp/>
        <stp>BDP|11309890746375452082</stp>
        <tr r="I171" s="1"/>
      </tp>
      <tp t="s">
        <v>#N/A N/A</v>
        <stp/>
        <stp>BDP|18409055486871788934</stp>
        <tr r="I79" s="1"/>
      </tp>
      <tp t="s">
        <v>#N/A N/A</v>
        <stp/>
        <stp>BDP|17134655251635313946</stp>
        <tr r="I222" s="1"/>
      </tp>
      <tp t="s">
        <v>#N/A N/A</v>
        <stp/>
        <stp>BDP|15939846055552344292</stp>
        <tr r="H354" s="1"/>
      </tp>
      <tp t="s">
        <v>#N/A N/A</v>
        <stp/>
        <stp>BDP|10223701382091448612</stp>
        <tr r="I360" s="1"/>
      </tp>
      <tp t="s">
        <v>#N/A N/A</v>
        <stp/>
        <stp>BDP|18012113284358215132</stp>
        <tr r="I359" s="1"/>
      </tp>
      <tp t="s">
        <v>#N/A N/A</v>
        <stp/>
        <stp>BDP|16509079516078064730</stp>
        <tr r="I397" s="1"/>
      </tp>
      <tp t="s">
        <v>#N/A N/A</v>
        <stp/>
        <stp>BDP|10550144788792688381</stp>
        <tr r="I189" s="1"/>
      </tp>
      <tp t="s">
        <v>#N/A N/A</v>
        <stp/>
        <stp>BDP|17276376503794383831</stp>
        <tr r="H187" s="1"/>
      </tp>
      <tp t="s">
        <v>#N/A N/A</v>
        <stp/>
        <stp>BDP|16992938622175988182</stp>
        <tr r="H313" s="1"/>
      </tp>
      <tp t="s">
        <v>#N/A N/A</v>
        <stp/>
        <stp>BDP|10650600629984647905</stp>
        <tr r="H44" s="1"/>
      </tp>
      <tp t="s">
        <v>#N/A N/A</v>
        <stp/>
        <stp>BDP|12083799568409041383</stp>
        <tr r="H328" s="1"/>
      </tp>
      <tp t="s">
        <v>#N/A N/A</v>
        <stp/>
        <stp>BDP|14112780764604589803</stp>
        <tr r="H244" s="1"/>
      </tp>
      <tp t="s">
        <v>#N/A N/A</v>
        <stp/>
        <stp>BDP|14711731296544917734</stp>
        <tr r="H434" s="1"/>
      </tp>
      <tp t="s">
        <v>#N/A N/A</v>
        <stp/>
        <stp>BDP|10476800555572308681</stp>
        <tr r="I231" s="1"/>
      </tp>
      <tp t="s">
        <v>#N/A N/A</v>
        <stp/>
        <stp>BDP|14066806216530529492</stp>
        <tr r="I72" s="1"/>
      </tp>
      <tp t="s">
        <v>#N/A N/A</v>
        <stp/>
        <stp>BDP|13663007132450092993</stp>
        <tr r="H126" s="1"/>
      </tp>
      <tp t="s">
        <v>#N/A N/A</v>
        <stp/>
        <stp>BDP|12795210735202692899</stp>
        <tr r="H280" s="1"/>
      </tp>
      <tp t="s">
        <v>#N/A N/A</v>
        <stp/>
        <stp>BDP|14340398764140042827</stp>
        <tr r="H438" s="1"/>
      </tp>
      <tp t="s">
        <v>#N/A N/A</v>
        <stp/>
        <stp>BDP|12246274894442975240</stp>
        <tr r="I348" s="1"/>
      </tp>
      <tp t="s">
        <v>#N/A N/A</v>
        <stp/>
        <stp>BDP|15967355671128427050</stp>
        <tr r="I107" s="1"/>
      </tp>
      <tp t="s">
        <v>#N/A N/A</v>
        <stp/>
        <stp>BDP|13599017555996801952</stp>
        <tr r="H139" s="1"/>
      </tp>
      <tp t="s">
        <v>#N/A N/A</v>
        <stp/>
        <stp>BDP|17458478508189227361</stp>
        <tr r="I340" s="1"/>
      </tp>
      <tp t="s">
        <v>#N/A N/A</v>
        <stp/>
        <stp>BDP|16511008487294911382</stp>
        <tr r="H264" s="1"/>
      </tp>
      <tp t="s">
        <v>#N/A N/A</v>
        <stp/>
        <stp>BDP|18440532665794108603</stp>
        <tr r="H410" s="1"/>
      </tp>
      <tp t="s">
        <v>#N/A N/A</v>
        <stp/>
        <stp>BDP|17715508996006644450</stp>
        <tr r="H251" s="1"/>
      </tp>
      <tp t="s">
        <v>#N/A N/A</v>
        <stp/>
        <stp>BDP|14050254263490043942</stp>
        <tr r="I286" s="1"/>
      </tp>
      <tp t="s">
        <v>#N/A N/A</v>
        <stp/>
        <stp>BDP|12309026783144219725</stp>
        <tr r="I261" s="1"/>
      </tp>
      <tp t="s">
        <v>#N/A N/A</v>
        <stp/>
        <stp>BDP|17266026608677905944</stp>
        <tr r="I420" s="1"/>
      </tp>
      <tp t="s">
        <v>#N/A N/A</v>
        <stp/>
        <stp>BDP|18288258147302707535</stp>
        <tr r="H312" s="1"/>
      </tp>
      <tp t="s">
        <v>#N/A N/A</v>
        <stp/>
        <stp>BDP|12956579792706941119</stp>
        <tr r="H435" s="1"/>
      </tp>
      <tp t="s">
        <v>#N/A N/A</v>
        <stp/>
        <stp>BDP|11781932290148093038</stp>
        <tr r="H208" s="1"/>
      </tp>
      <tp t="s">
        <v>#N/A N/A</v>
        <stp/>
        <stp>BDP|15213679005783798900</stp>
        <tr r="I136" s="1"/>
      </tp>
      <tp t="s">
        <v>#N/A N/A</v>
        <stp/>
        <stp>BDP|16082160796080179776</stp>
        <tr r="I422" s="1"/>
      </tp>
      <tp t="s">
        <v>#N/A N/A</v>
        <stp/>
        <stp>BDP|13408896307823141608</stp>
        <tr r="I58" s="1"/>
      </tp>
      <tp t="s">
        <v>#N/A N/A</v>
        <stp/>
        <stp>BDP|13872840693625748958</stp>
        <tr r="I87" s="1"/>
      </tp>
      <tp t="s">
        <v>#N/A N/A</v>
        <stp/>
        <stp>BDP|14470810023477885723</stp>
        <tr r="I191" s="1"/>
      </tp>
      <tp t="s">
        <v>#N/A N/A</v>
        <stp/>
        <stp>BDP|13653135861429824300</stp>
        <tr r="I350" s="1"/>
      </tp>
      <tp t="s">
        <v>#N/A N/A</v>
        <stp/>
        <stp>BDP|18100209141876513694</stp>
        <tr r="I109" s="1"/>
      </tp>
      <tp t="s">
        <v>#N/A N/A</v>
        <stp/>
        <stp>BDP|12756926948500375100</stp>
        <tr r="H317" s="1"/>
      </tp>
      <tp t="s">
        <v>#N/A N/A</v>
        <stp/>
        <stp>BDP|18000475709167286529</stp>
        <tr r="I84" s="1"/>
      </tp>
      <tp t="s">
        <v>#N/A N/A</v>
        <stp/>
        <stp>BDP|12200812713152896796</stp>
        <tr r="H366" s="1"/>
      </tp>
      <tp t="s">
        <v>#N/A N/A</v>
        <stp/>
        <stp>BDP|12239438380119205936</stp>
        <tr r="H57" s="1"/>
      </tp>
      <tp t="s">
        <v>#N/A N/A</v>
        <stp/>
        <stp>BDP|17829203617123918962</stp>
        <tr r="I121" s="1"/>
      </tp>
      <tp t="s">
        <v>#N/A N/A</v>
        <stp/>
        <stp>BDP|13563619537778082032</stp>
        <tr r="I180" s="1"/>
      </tp>
      <tp t="s">
        <v>#N/A N/A</v>
        <stp/>
        <stp>BDP|17658726639629731488</stp>
        <tr r="I143" s="1"/>
      </tp>
      <tp t="s">
        <v>#N/A N/A</v>
        <stp/>
        <stp>BDP|17168600164710126962</stp>
        <tr r="H133" s="1"/>
      </tp>
      <tp t="s">
        <v>#N/A N/A</v>
        <stp/>
        <stp>BDP|12183467436913017832</stp>
        <tr r="H348" s="1"/>
      </tp>
      <tp t="s">
        <v>#N/A N/A</v>
        <stp/>
        <stp>BDP|13879038008909045460</stp>
        <tr r="I293" s="1"/>
      </tp>
      <tp t="s">
        <v>#N/A N/A</v>
        <stp/>
        <stp>BDP|14354558626799063441</stp>
        <tr r="I68" s="1"/>
      </tp>
      <tp t="s">
        <v>#N/A N/A</v>
        <stp/>
        <stp>BDP|13397030430737054948</stp>
        <tr r="H395" s="1"/>
      </tp>
      <tp t="s">
        <v>#N/A N/A</v>
        <stp/>
        <stp>BDP|18098987408909064672</stp>
        <tr r="I33" s="1"/>
      </tp>
      <tp t="s">
        <v>#N/A N/A</v>
        <stp/>
        <stp>BDP|14274613780357039340</stp>
        <tr r="I70" s="1"/>
      </tp>
      <tp t="s">
        <v>#N/A N/A</v>
        <stp/>
        <stp>BDP|15549797760423824922</stp>
        <tr r="I42" s="1"/>
      </tp>
      <tp t="s">
        <v>#N/A N/A</v>
        <stp/>
        <stp>BDP|13241924219557590355</stp>
        <tr r="I347" s="1"/>
      </tp>
      <tp t="s">
        <v>#N/A N/A</v>
        <stp/>
        <stp>BDP|12527161959750584973</stp>
        <tr r="I338" s="1"/>
      </tp>
      <tp t="s">
        <v>#N/A N/A</v>
        <stp/>
        <stp>BDP|15942487771831889876</stp>
        <tr r="H379" s="1"/>
      </tp>
      <tp t="s">
        <v>#N/A N/A</v>
        <stp/>
        <stp>BDP|13934077120256797873</stp>
        <tr r="I319" s="1"/>
      </tp>
      <tp t="s">
        <v>#N/A N/A</v>
        <stp/>
        <stp>BDP|12065976284708985443</stp>
        <tr r="I416" s="1"/>
      </tp>
      <tp t="s">
        <v>#N/A N/A</v>
        <stp/>
        <stp>BDP|16278540253208919120</stp>
        <tr r="H103" s="1"/>
      </tp>
      <tp t="s">
        <v>#N/A N/A</v>
        <stp/>
        <stp>BDP|14669937869812839655</stp>
        <tr r="I318" s="1"/>
      </tp>
      <tp t="s">
        <v>#N/A N/A</v>
        <stp/>
        <stp>BDP|14650535530274098952</stp>
        <tr r="I277" s="1"/>
      </tp>
      <tp t="s">
        <v>#N/A N/A</v>
        <stp/>
        <stp>BDP|14532165490121708244</stp>
        <tr r="H291" s="1"/>
      </tp>
      <tp t="s">
        <v>#N/A N/A</v>
        <stp/>
        <stp>BDP|12074966760293635105</stp>
        <tr r="H13" s="1"/>
      </tp>
      <tp t="s">
        <v>#N/A N/A</v>
        <stp/>
        <stp>BDP|12106027085997137243</stp>
        <tr r="H40" s="1"/>
      </tp>
      <tp t="s">
        <v>#N/A N/A</v>
        <stp/>
        <stp>BDP|15310374790577024771</stp>
        <tr r="H112" s="1"/>
      </tp>
      <tp t="s">
        <v>#N/A N/A</v>
        <stp/>
        <stp>BDP|13587385113487260999</stp>
        <tr r="I127" s="1"/>
      </tp>
      <tp t="s">
        <v>#N/A N/A</v>
        <stp/>
        <stp>BDP|15120055360525158903</stp>
        <tr r="I207" s="1"/>
      </tp>
      <tp t="s">
        <v>#N/A N/A</v>
        <stp/>
        <stp>BDP|12641255181877369072</stp>
        <tr r="I176" s="1"/>
      </tp>
      <tp t="s">
        <v>#N/A N/A</v>
        <stp/>
        <stp>BDP|11369796091712590174</stp>
        <tr r="H166" s="1"/>
      </tp>
      <tp t="s">
        <v>#N/A N/A</v>
        <stp/>
        <stp>BDP|13445465998427551564</stp>
        <tr r="I165" s="1"/>
      </tp>
      <tp t="s">
        <v>#N/A N/A</v>
        <stp/>
        <stp>BDP|12462155588871702667</stp>
        <tr r="H345" s="1"/>
      </tp>
      <tp t="s">
        <v>#N/A N/A</v>
        <stp/>
        <stp>BDP|13898103539795844818</stp>
        <tr r="I14" s="1"/>
      </tp>
      <tp t="s">
        <v>#N/A N/A</v>
        <stp/>
        <stp>BDP|13948083532695972919</stp>
        <tr r="H436" s="1"/>
      </tp>
      <tp t="s">
        <v>#N/A N/A</v>
        <stp/>
        <stp>BDP|10294365862059843047</stp>
        <tr r="H228" s="1"/>
      </tp>
      <tp t="s">
        <v>#N/A N/A</v>
        <stp/>
        <stp>BDP|12229159678878389030</stp>
        <tr r="I113" s="1"/>
      </tp>
      <tp t="s">
        <v>#N/A N/A</v>
        <stp/>
        <stp>BDP|11719881514691780525</stp>
        <tr r="H380" s="1"/>
      </tp>
      <tp t="s">
        <v>#N/A N/A</v>
        <stp/>
        <stp>BDP|17441509634095112806</stp>
        <tr r="I69" s="1"/>
      </tp>
      <tp t="s">
        <v>#N/A N/A</v>
        <stp/>
        <stp>BDP|12661508181053680002</stp>
        <tr r="I116" s="1"/>
      </tp>
      <tp t="s">
        <v>#N/A N/A</v>
        <stp/>
        <stp>BDP|13330842667975011402</stp>
        <tr r="H240" s="1"/>
      </tp>
      <tp t="s">
        <v>#N/A N/A</v>
        <stp/>
        <stp>BDP|14171969098521988964</stp>
        <tr r="I390" s="1"/>
      </tp>
      <tp t="s">
        <v>#N/A N/A</v>
        <stp/>
        <stp>BDP|18429630363382789609</stp>
        <tr r="I27" s="1"/>
      </tp>
      <tp t="s">
        <v>#N/A N/A</v>
        <stp/>
        <stp>BDP|12914535917222982868</stp>
        <tr r="H324" s="1"/>
      </tp>
      <tp t="s">
        <v>#N/A N/A</v>
        <stp/>
        <stp>BDP|16161855737044677514</stp>
        <tr r="I401" s="1"/>
      </tp>
      <tp t="s">
        <v>#N/A N/A</v>
        <stp/>
        <stp>BDP|17562573768089604183</stp>
        <tr r="H41" s="1"/>
      </tp>
      <tp t="s">
        <v>#N/A N/A</v>
        <stp/>
        <stp>BDP|11737605034251458934</stp>
        <tr r="H283" s="1"/>
      </tp>
      <tp t="s">
        <v>#N/A N/A</v>
        <stp/>
        <stp>BDP|12293729985728621944</stp>
        <tr r="H278" s="1"/>
      </tp>
      <tp t="s">
        <v>#N/A N/A</v>
        <stp/>
        <stp>BDP|10477563662829604607</stp>
        <tr r="I352" s="1"/>
      </tp>
      <tp t="s">
        <v>#N/A N/A</v>
        <stp/>
        <stp>BDP|10093645051837529864</stp>
        <tr r="I13" s="1"/>
      </tp>
      <tp t="s">
        <v>#N/A N/A</v>
        <stp/>
        <stp>BDP|16332436436868842473</stp>
        <tr r="H143" s="1"/>
      </tp>
      <tp t="s">
        <v>#N/A N/A</v>
        <stp/>
        <stp>BDP|13896776516818172011</stp>
        <tr r="I288" s="1"/>
      </tp>
      <tp t="s">
        <v>#N/A N/A</v>
        <stp/>
        <stp>BDP|16319089010359754366</stp>
        <tr r="I153" s="1"/>
      </tp>
      <tp t="s">
        <v>#N/A N/A</v>
        <stp/>
        <stp>BDP|14147259829728683115</stp>
        <tr r="H407" s="1"/>
      </tp>
      <tp t="s">
        <v>#N/A N/A</v>
        <stp/>
        <stp>BDP|10642259579130288822</stp>
        <tr r="H423" s="1"/>
      </tp>
      <tp t="s">
        <v>#N/A N/A</v>
        <stp/>
        <stp>BDP|12074849021917976218</stp>
        <tr r="I283" s="1"/>
      </tp>
      <tp t="s">
        <v>#N/A N/A</v>
        <stp/>
        <stp>BDP|14651557186584111097</stp>
        <tr r="I426" s="1"/>
      </tp>
      <tp t="s">
        <v>#N/A N/A</v>
        <stp/>
        <stp>BDP|10526793653416478962</stp>
        <tr r="H252" s="1"/>
      </tp>
      <tp t="s">
        <v>#N/A N/A</v>
        <stp/>
        <stp>BDP|13129321442420899956</stp>
        <tr r="I378" s="1"/>
      </tp>
      <tp t="s">
        <v>#N/A N/A</v>
        <stp/>
        <stp>BDP|15459349659507091952</stp>
        <tr r="I141" s="1"/>
      </tp>
      <tp t="s">
        <v>#N/A N/A</v>
        <stp/>
        <stp>BDP|11052802106370835425</stp>
        <tr r="H417" s="1"/>
      </tp>
      <tp t="s">
        <v>#N/A N/A</v>
        <stp/>
        <stp>BDP|13786630787213566385</stp>
        <tr r="H428" s="1"/>
      </tp>
      <tp t="s">
        <v>#N/A N/A</v>
        <stp/>
        <stp>BDP|11034812014595236093</stp>
        <tr r="H51" s="1"/>
      </tp>
      <tp t="s">
        <v>#N/A N/A</v>
        <stp/>
        <stp>BDP|11341417864079559723</stp>
        <tr r="I297" s="1"/>
      </tp>
      <tp t="s">
        <v>#N/A N/A</v>
        <stp/>
        <stp>BDP|18113566768322742481</stp>
        <tr r="H235" s="1"/>
      </tp>
      <tp t="s">
        <v>#N/A N/A</v>
        <stp/>
        <stp>BDP|14100963436740528369</stp>
        <tr r="I284" s="1"/>
      </tp>
      <tp t="s">
        <v>#N/A N/A</v>
        <stp/>
        <stp>BDP|12643641117721143963</stp>
        <tr r="I232" s="1"/>
      </tp>
      <tp t="s">
        <v>#N/A N/A</v>
        <stp/>
        <stp>BDP|15162620716976045909</stp>
        <tr r="I115" s="1"/>
      </tp>
      <tp t="s">
        <v>#N/A N/A</v>
        <stp/>
        <stp>BDP|18136680352546625099</stp>
        <tr r="H387" s="1"/>
      </tp>
      <tp t="s">
        <v>#N/A N/A</v>
        <stp/>
        <stp>BDP|12505056402937167842</stp>
        <tr r="H100" s="1"/>
      </tp>
      <tp t="s">
        <v>#N/A N/A</v>
        <stp/>
        <stp>BDP|12436529867609739511</stp>
        <tr r="H66" s="1"/>
      </tp>
      <tp t="s">
        <v>#N/A N/A</v>
        <stp/>
        <stp>BDP|15800015177756979916</stp>
        <tr r="H347" s="1"/>
      </tp>
      <tp t="s">
        <v>#N/A N/A</v>
        <stp/>
        <stp>BDP|11790637145256163868</stp>
        <tr r="H199" s="1"/>
      </tp>
      <tp t="s">
        <v>#N/A N/A</v>
        <stp/>
        <stp>BDP|14076139661138952931</stp>
        <tr r="I20" s="1"/>
      </tp>
      <tp t="s">
        <v>#N/A N/A</v>
        <stp/>
        <stp>BDP|11648240748721376418</stp>
        <tr r="H115" s="1"/>
      </tp>
      <tp t="s">
        <v>#N/A N/A</v>
        <stp/>
        <stp>BDP|15917825553399281315</stp>
        <tr r="I146" s="1"/>
      </tp>
      <tp t="s">
        <v>#N/A N/A</v>
        <stp/>
        <stp>BDP|10282121845472868561</stp>
        <tr r="I396" s="1"/>
      </tp>
      <tp t="s">
        <v>#N/A N/A</v>
        <stp/>
        <stp>BDP|17243895995145292163</stp>
        <tr r="I276" s="1"/>
      </tp>
      <tp t="s">
        <v>#N/A N/A</v>
        <stp/>
        <stp>BDP|16003514821520572381</stp>
        <tr r="I217" s="1"/>
      </tp>
      <tp t="s">
        <v>#N/A N/A</v>
        <stp/>
        <stp>BDP|17085038817212126685</stp>
        <tr r="H196" s="1"/>
      </tp>
      <tp t="s">
        <v>#N/A N/A</v>
        <stp/>
        <stp>BDP|11906395400225975562</stp>
        <tr r="I387" s="1"/>
      </tp>
      <tp t="s">
        <v>#N/A N/A</v>
        <stp/>
        <stp>BDP|10126696040814029466</stp>
        <tr r="H257" s="1"/>
      </tp>
      <tp t="s">
        <v>#N/A N/A</v>
        <stp/>
        <stp>BDP|16170715215871274390</stp>
        <tr r="H19" s="1"/>
      </tp>
      <tp t="s">
        <v>#N/A N/A</v>
        <stp/>
        <stp>BDP|16368298564242222222</stp>
        <tr r="H131" s="1"/>
      </tp>
      <tp t="s">
        <v>#N/A N/A</v>
        <stp/>
        <stp>BDP|10365515246343944038</stp>
        <tr r="H315" s="1"/>
      </tp>
      <tp t="s">
        <v>#N/A N/A</v>
        <stp/>
        <stp>BDP|13767691736224217042</stp>
        <tr r="I382" s="1"/>
      </tp>
      <tp t="s">
        <v>#N/A N/A</v>
        <stp/>
        <stp>BDP|16970031047266310601</stp>
        <tr r="H309" s="1"/>
      </tp>
      <tp t="s">
        <v>#N/A N/A</v>
        <stp/>
        <stp>BDP|14089180263367328691</stp>
        <tr r="H205" s="1"/>
      </tp>
      <tp t="s">
        <v>#N/A N/A</v>
        <stp/>
        <stp>BDP|15616857616059257761</stp>
        <tr r="I243" s="1"/>
      </tp>
      <tp t="s">
        <v>#N/A N/A</v>
        <stp/>
        <stp>BDP|17782518308362601288</stp>
        <tr r="H325" s="1"/>
      </tp>
      <tp t="s">
        <v>#N/A N/A</v>
        <stp/>
        <stp>BDP|15427612841976365375</stp>
        <tr r="H191" s="1"/>
      </tp>
      <tp t="s">
        <v>#N/A N/A</v>
        <stp/>
        <stp>BDP|10579771460296530578</stp>
        <tr r="H286" s="1"/>
      </tp>
      <tp t="s">
        <v>#N/A N/A</v>
        <stp/>
        <stp>BDP|12018056613737242641</stp>
        <tr r="I256" s="1"/>
      </tp>
      <tp t="s">
        <v>#N/A N/A</v>
        <stp/>
        <stp>BDP|13487951939149325282</stp>
        <tr r="H69" s="1"/>
      </tp>
      <tp t="s">
        <v>#N/A N/A</v>
        <stp/>
        <stp>BDP|15817111355484939767</stp>
        <tr r="H295" s="1"/>
      </tp>
      <tp t="s">
        <v>#N/A N/A</v>
        <stp/>
        <stp>BDP|15379581764007966356</stp>
        <tr r="I90" s="1"/>
      </tp>
      <tp t="s">
        <v>#N/A N/A</v>
        <stp/>
        <stp>BDP|12591392764991826435</stp>
        <tr r="I86" s="1"/>
      </tp>
      <tp t="s">
        <v>#N/A N/A</v>
        <stp/>
        <stp>BDP|16978025224564550296</stp>
        <tr r="I186" s="1"/>
      </tp>
      <tp t="s">
        <v>#N/A N/A</v>
        <stp/>
        <stp>BDP|17117707621710607049</stp>
        <tr r="H181" s="1"/>
      </tp>
      <tp t="s">
        <v>#N/A N/A</v>
        <stp/>
        <stp>BDP|14029630275761098649</stp>
        <tr r="H202" s="1"/>
      </tp>
      <tp t="s">
        <v>#N/A N/A</v>
        <stp/>
        <stp>BDP|12714681469514276466</stp>
        <tr r="H198" s="1"/>
      </tp>
      <tp t="s">
        <v>#N/A N/A</v>
        <stp/>
        <stp>BDP|11699702786215077953</stp>
        <tr r="H36" s="1"/>
      </tp>
      <tp t="s">
        <v>#N/A N/A</v>
        <stp/>
        <stp>BDP|16195361024337507223</stp>
        <tr r="I300" s="1"/>
      </tp>
      <tp t="s">
        <v>#N/A N/A</v>
        <stp/>
        <stp>BDP|10001896189652710002</stp>
        <tr r="H409" s="1"/>
      </tp>
      <tp t="s">
        <v>#N/A N/A</v>
        <stp/>
        <stp>BDP|13441253011634236642</stp>
        <tr r="I374" s="1"/>
      </tp>
      <tp t="s">
        <v>#N/A N/A</v>
        <stp/>
        <stp>BDP|15871325169330112240</stp>
        <tr r="I213" s="1"/>
      </tp>
      <tp t="s">
        <v>#N/A N/A</v>
        <stp/>
        <stp>BDP|12298194426393732127</stp>
        <tr r="I349" s="1"/>
      </tp>
      <tp t="s">
        <v>#N/A N/A</v>
        <stp/>
        <stp>BDP|10632986683647454551</stp>
        <tr r="I270" s="1"/>
      </tp>
      <tp t="s">
        <v>#N/A N/A</v>
        <stp/>
        <stp>BDP|14486221462594264787</stp>
        <tr r="H386" s="1"/>
      </tp>
      <tp t="s">
        <v>#N/A N/A</v>
        <stp/>
        <stp>BDP|15667392921102512558</stp>
        <tr r="I63" s="1"/>
      </tp>
      <tp t="s">
        <v>#N/A N/A</v>
        <stp/>
        <stp>BDP|10256725538030520731</stp>
        <tr r="I203" s="1"/>
      </tp>
      <tp t="s">
        <v>#N/A N/A</v>
        <stp/>
        <stp>BDP|13803038732417136469</stp>
        <tr r="H300" s="1"/>
      </tp>
      <tp t="s">
        <v>#N/A N/A</v>
        <stp/>
        <stp>BDP|15671869294382665530</stp>
        <tr r="H390" s="1"/>
      </tp>
      <tp t="s">
        <v>#N/A N/A</v>
        <stp/>
        <stp>BDP|17189169646837203624</stp>
        <tr r="I383" s="1"/>
      </tp>
      <tp t="s">
        <v>#N/A N/A</v>
        <stp/>
        <stp>BDP|10485781322493621584</stp>
        <tr r="I92" s="1"/>
      </tp>
      <tp t="s">
        <v>#N/A N/A</v>
        <stp/>
        <stp>BDP|17536776303407658478</stp>
        <tr r="H6" s="1"/>
      </tp>
      <tp t="s">
        <v>#N/A N/A</v>
        <stp/>
        <stp>BDP|10179632658118829821</stp>
        <tr r="H50" s="1"/>
      </tp>
      <tp t="s">
        <v>#N/A N/A</v>
        <stp/>
        <stp>BDP|10323439300813072438</stp>
        <tr r="H319" s="1"/>
      </tp>
      <tp t="s">
        <v>#N/A N/A</v>
        <stp/>
        <stp>BDP|12871552328411521731</stp>
        <tr r="I419" s="1"/>
      </tp>
      <tp t="s">
        <v>#N/A N/A</v>
        <stp/>
        <stp>BDP|18112320111090464950</stp>
        <tr r="H385" s="1"/>
      </tp>
      <tp t="s">
        <v>#N/A N/A</v>
        <stp/>
        <stp>BDP|12417346644761416736</stp>
        <tr r="H49" s="1"/>
      </tp>
      <tp t="s">
        <v>#N/A N/A</v>
        <stp/>
        <stp>BDP|13221231275022437736</stp>
        <tr r="I326" s="1"/>
      </tp>
      <tp t="s">
        <v>#N/A N/A</v>
        <stp/>
        <stp>BDP|10223678507700155512</stp>
        <tr r="H75" s="1"/>
      </tp>
      <tp t="s">
        <v>#N/A N/A</v>
        <stp/>
        <stp>BDP|13211466814465491014</stp>
        <tr r="H189" s="1"/>
      </tp>
      <tp t="s">
        <v>#N/A N/A</v>
        <stp/>
        <stp>BDP|13561641755533979085</stp>
        <tr r="H399" s="1"/>
      </tp>
      <tp t="s">
        <v>#N/A N/A</v>
        <stp/>
        <stp>BDP|18111934181299762317</stp>
        <tr r="H73" s="1"/>
      </tp>
      <tp t="s">
        <v>#N/A N/A</v>
        <stp/>
        <stp>BDP|11074780215151289580</stp>
        <tr r="H405" s="1"/>
      </tp>
      <tp t="s">
        <v>#N/A N/A</v>
        <stp/>
        <stp>BDP|10578611320527166029</stp>
        <tr r="I268" s="1"/>
      </tp>
      <tp t="s">
        <v>#N/A N/A</v>
        <stp/>
        <stp>BDP|10711538685897409920</stp>
        <tr r="I226" s="1"/>
      </tp>
      <tp t="s">
        <v>#N/A N/A</v>
        <stp/>
        <stp>BDP|13728774461071733009</stp>
        <tr r="I376" s="1"/>
      </tp>
      <tp t="s">
        <v>#N/A N/A</v>
        <stp/>
        <stp>BDP|10087034366892171727</stp>
        <tr r="H204" s="1"/>
      </tp>
      <tp t="s">
        <v>#N/A N/A</v>
        <stp/>
        <stp>BDP|12658687056415563451</stp>
        <tr r="I54" s="1"/>
      </tp>
      <tp t="s">
        <v>#N/A N/A</v>
        <stp/>
        <stp>BDP|15824680225539758885</stp>
        <tr r="I118" s="1"/>
      </tp>
      <tp t="s">
        <v>#N/A N/A</v>
        <stp/>
        <stp>BDP|13572088503371594213</stp>
        <tr r="I370" s="1"/>
      </tp>
      <tp t="s">
        <v>#N/A N/A</v>
        <stp/>
        <stp>BDP|15641146716602853716</stp>
        <tr r="I433" s="1"/>
      </tp>
      <tp t="s">
        <v>#N/A N/A</v>
        <stp/>
        <stp>BDP|12976612359767569692</stp>
        <tr r="I59" s="1"/>
      </tp>
      <tp t="s">
        <v>#N/A N/A</v>
        <stp/>
        <stp>BDP|14822789713262899064</stp>
        <tr r="I36" s="1"/>
      </tp>
      <tp t="s">
        <v>#N/A N/A</v>
        <stp/>
        <stp>BDP|12029030567500968426</stp>
        <tr r="I17" s="1"/>
      </tp>
      <tp t="s">
        <v>#N/A N/A</v>
        <stp/>
        <stp>BDP|10214058017207974683</stp>
        <tr r="H420" s="1"/>
      </tp>
      <tp t="s">
        <v>#N/A N/A</v>
        <stp/>
        <stp>BDP|11431323952365038278</stp>
        <tr r="H250" s="1"/>
      </tp>
      <tp t="s">
        <v>#N/A N/A</v>
        <stp/>
        <stp>BDP|14371995535316955859</stp>
        <tr r="I52" s="1"/>
      </tp>
      <tp t="s">
        <v>#N/A N/A</v>
        <stp/>
        <stp>BDP|18266890434955425692</stp>
        <tr r="H334" s="1"/>
      </tp>
      <tp t="s">
        <v>#N/A N/A</v>
        <stp/>
        <stp>BDP|17331053854403859180</stp>
        <tr r="I323" s="1"/>
      </tp>
      <tp t="s">
        <v>#N/A N/A</v>
        <stp/>
        <stp>BDP|14433705513277448517</stp>
        <tr r="H26" s="1"/>
      </tp>
      <tp t="s">
        <v>#N/A N/A</v>
        <stp/>
        <stp>BDP|14106308069503846255</stp>
        <tr r="I221" s="1"/>
      </tp>
      <tp t="s">
        <v>#N/A N/A</v>
        <stp/>
        <stp>BDP|12444555230612634621</stp>
        <tr r="H338" s="1"/>
      </tp>
      <tp t="s">
        <v>#N/A N/A</v>
        <stp/>
        <stp>BDP|17205322093818077576</stp>
        <tr r="I150" s="1"/>
      </tp>
      <tp t="s">
        <v>#N/A N/A</v>
        <stp/>
        <stp>BDP|14119276655500146364</stp>
        <tr r="I372" s="1"/>
      </tp>
      <tp t="s">
        <v>#N/A N/A</v>
        <stp/>
        <stp>BDP|12688445704046389015</stp>
        <tr r="I75" s="1"/>
      </tp>
      <tp t="s">
        <v>#N/A N/A</v>
        <stp/>
        <stp>BDP|14331962553491654944</stp>
        <tr r="I312" s="1"/>
      </tp>
      <tp t="s">
        <v>#N/A N/A</v>
        <stp/>
        <stp>BDP|16715302161043234031</stp>
        <tr r="H157" s="1"/>
      </tp>
      <tp t="s">
        <v>#N/A N/A</v>
        <stp/>
        <stp>BDP|14541776310645332771</stp>
        <tr r="H37" s="1"/>
      </tp>
      <tp t="s">
        <v>#N/A N/A</v>
        <stp/>
        <stp>BDP|18189786847642026874</stp>
        <tr r="H46" s="1"/>
      </tp>
      <tp t="s">
        <v>#N/A N/A</v>
        <stp/>
        <stp>BDP|17289073036152326780</stp>
        <tr r="H77" s="1"/>
      </tp>
      <tp t="s">
        <v>#N/A N/A</v>
        <stp/>
        <stp>BDP|15708394825755499074</stp>
        <tr r="H74" s="1"/>
      </tp>
      <tp t="s">
        <v>#N/A N/A</v>
        <stp/>
        <stp>BDP|14685947367278948244</stp>
        <tr r="H288" s="1"/>
      </tp>
      <tp t="s">
        <v>#N/A N/A</v>
        <stp/>
        <stp>BDP|18175395120761215919</stp>
        <tr r="I307" s="1"/>
      </tp>
      <tp t="s">
        <v>#N/A N/A</v>
        <stp/>
        <stp>BDP|11629919341454835950</stp>
        <tr r="H384" s="1"/>
      </tp>
      <tp t="s">
        <v>#N/A N/A</v>
        <stp/>
        <stp>BDP|10355688159625916714</stp>
        <tr r="H248" s="1"/>
      </tp>
      <tp t="s">
        <v>#N/A N/A</v>
        <stp/>
        <stp>BDP|16958249801135300021</stp>
        <tr r="H87" s="1"/>
      </tp>
      <tp t="s">
        <v>#N/A N/A</v>
        <stp/>
        <stp>BDP|12796199607481527310</stp>
        <tr r="I101" s="1"/>
      </tp>
      <tp t="s">
        <v>#N/A N/A</v>
        <stp/>
        <stp>BDP|18190861257093746785</stp>
        <tr r="I242" s="1"/>
      </tp>
      <tp t="s">
        <v>#N/A N/A</v>
        <stp/>
        <stp>BDP|10268870536522409882</stp>
        <tr r="I28" s="1"/>
      </tp>
      <tp t="s">
        <v>#N/A N/A</v>
        <stp/>
        <stp>BDP|12396556753833332095</stp>
        <tr r="H281" s="1"/>
      </tp>
      <tp t="s">
        <v>#N/A N/A</v>
        <stp/>
        <stp>BDP|16973644161002122527</stp>
        <tr r="H33" s="1"/>
      </tp>
      <tp t="s">
        <v>#N/A N/A</v>
        <stp/>
        <stp>BDP|15862940156930016844</stp>
        <tr r="H276" s="1"/>
      </tp>
      <tp t="s">
        <v>#N/A N/A</v>
        <stp/>
        <stp>BDP|18120794955209256218</stp>
        <tr r="I23" s="1"/>
      </tp>
      <tp t="s">
        <v>#N/A N/A</v>
        <stp/>
        <stp>BDP|16665672446241990406</stp>
        <tr r="I339" s="1"/>
      </tp>
      <tp t="s">
        <v>#N/A N/A</v>
        <stp/>
        <stp>BDP|12306370605759977969</stp>
        <tr r="I291" s="1"/>
      </tp>
      <tp t="s">
        <v>#N/A N/A</v>
        <stp/>
        <stp>BDP|14208925282414743046</stp>
        <tr r="H190" s="1"/>
      </tp>
      <tp t="s">
        <v>#N/A N/A</v>
        <stp/>
        <stp>BDP|14536541606640647003</stp>
        <tr r="I71" s="1"/>
      </tp>
      <tp t="s">
        <v>#N/A N/A</v>
        <stp/>
        <stp>BDP|11311844701219488125</stp>
        <tr r="H306" s="1"/>
      </tp>
      <tp t="s">
        <v>#N/A N/A</v>
        <stp/>
        <stp>BDP|13985500699897870985</stp>
        <tr r="I139" s="1"/>
      </tp>
      <tp t="s">
        <v>#N/A N/A</v>
        <stp/>
        <stp>BDP|11146172455766576262</stp>
        <tr r="H335" s="1"/>
      </tp>
      <tp t="s">
        <v>#N/A N/A</v>
        <stp/>
        <stp>BDP|15159233810113824499</stp>
        <tr r="I225" s="1"/>
      </tp>
      <tp t="s">
        <v>#N/A N/A</v>
        <stp/>
        <stp>BDP|12000305524832017062</stp>
        <tr r="H215" s="1"/>
      </tp>
      <tp t="s">
        <v>#N/A N/A</v>
        <stp/>
        <stp>BDP|15249239863614750405</stp>
        <tr r="H231" s="1"/>
      </tp>
      <tp t="s">
        <v>#N/A N/A</v>
        <stp/>
        <stp>BDP|11818045774983974441</stp>
        <tr r="H188" s="1"/>
      </tp>
      <tp t="s">
        <v>#N/A N/A</v>
        <stp/>
        <stp>BDP|18341609672720653827</stp>
        <tr r="I280" s="1"/>
      </tp>
      <tp t="s">
        <v>#N/A N/A</v>
        <stp/>
        <stp>BDP|12383739233787024066</stp>
        <tr r="I138" s="1"/>
      </tp>
      <tp t="s">
        <v>#N/A N/A</v>
        <stp/>
        <stp>BDP|15365064200212037605</stp>
        <tr r="H247" s="1"/>
      </tp>
      <tp t="s">
        <v>#N/A N/A</v>
        <stp/>
        <stp>BDP|12917622066540900308</stp>
        <tr r="H16" s="1"/>
      </tp>
      <tp t="s">
        <v>#N/A N/A</v>
        <stp/>
        <stp>BDP|16197220606691643477</stp>
        <tr r="H326" s="1"/>
      </tp>
      <tp t="s">
        <v>#N/A N/A</v>
        <stp/>
        <stp>BDP|15939596983341751806</stp>
        <tr r="I287" s="1"/>
      </tp>
      <tp t="s">
        <v>#N/A N/A</v>
        <stp/>
        <stp>BDP|17538785356516514294</stp>
        <tr r="I148" s="1"/>
      </tp>
      <tp t="s">
        <v>#N/A N/A</v>
        <stp/>
        <stp>BDP|13678224474968846819</stp>
        <tr r="I41" s="1"/>
      </tp>
      <tp t="s">
        <v>#N/A N/A</v>
        <stp/>
        <stp>BDP|13206823321518032782</stp>
        <tr r="H339" s="1"/>
      </tp>
      <tp t="s">
        <v>#N/A N/A</v>
        <stp/>
        <stp>BDP|15163631073101809300</stp>
        <tr r="H285" s="1"/>
      </tp>
      <tp t="s">
        <v>#N/A N/A</v>
        <stp/>
        <stp>BDP|12979337906022646528</stp>
        <tr r="H314" s="1"/>
      </tp>
      <tp t="s">
        <v>#N/A N/A</v>
        <stp/>
        <stp>BDP|13701480250266704233</stp>
        <tr r="H78" s="1"/>
      </tp>
      <tp t="s">
        <v>#N/A N/A</v>
        <stp/>
        <stp>BDP|15600890577719175527</stp>
        <tr r="H226" s="1"/>
      </tp>
      <tp t="s">
        <v>#N/A N/A</v>
        <stp/>
        <stp>BDP|15257115064455873158</stp>
        <tr r="I9" s="1"/>
      </tp>
      <tp t="s">
        <v>#N/A N/A</v>
        <stp/>
        <stp>BDP|17153470366575883622</stp>
        <tr r="H424" s="1"/>
      </tp>
      <tp t="s">
        <v>#N/A N/A</v>
        <stp/>
        <stp>BDP|14135894756599431605</stp>
        <tr r="H150" s="1"/>
      </tp>
      <tp t="s">
        <v>#N/A N/A</v>
        <stp/>
        <stp>BDP|17171505358346539718</stp>
        <tr r="I147" s="1"/>
      </tp>
      <tp t="s">
        <v>#N/A N/A</v>
        <stp/>
        <stp>BDP|12035714862926689381</stp>
        <tr r="H10" s="1"/>
      </tp>
      <tp t="s">
        <v>#N/A N/A</v>
        <stp/>
        <stp>BDP|11724718419620381123</stp>
        <tr r="I381" s="1"/>
      </tp>
      <tp t="s">
        <v>#N/A N/A</v>
        <stp/>
        <stp>BDP|17071278946503395439</stp>
        <tr r="H265" s="1"/>
      </tp>
      <tp t="s">
        <v>#N/A N/A</v>
        <stp/>
        <stp>BDP|11664783288460268856</stp>
        <tr r="H269" s="1"/>
      </tp>
      <tp t="s">
        <v>#N/A N/A</v>
        <stp/>
        <stp>BDP|17628032861096542119</stp>
        <tr r="I177" s="1"/>
      </tp>
      <tp t="s">
        <v>#N/A N/A</v>
        <stp/>
        <stp>BDP|11242736067822562431</stp>
        <tr r="I169" s="1"/>
      </tp>
      <tp t="s">
        <v>#N/A N/A</v>
        <stp/>
        <stp>BDP|13332561815803268221</stp>
        <tr r="I436" s="1"/>
      </tp>
      <tp t="s">
        <v>#N/A N/A</v>
        <stp/>
        <stp>BDP|13277581709953115322</stp>
        <tr r="I185" s="1"/>
      </tp>
      <tp t="s">
        <v>#N/A N/A</v>
        <stp/>
        <stp>BDP|10157515232526324638</stp>
        <tr r="H222" s="1"/>
      </tp>
      <tp t="s">
        <v>#N/A N/A</v>
        <stp/>
        <stp>BDP|12569460421861199363</stp>
        <tr r="I67" s="1"/>
      </tp>
      <tp t="s">
        <v>#N/A N/A</v>
        <stp/>
        <stp>BDP|17067277663836656367</stp>
        <tr r="I275" s="1"/>
      </tp>
      <tp t="s">
        <v>#N/A N/A</v>
        <stp/>
        <stp>BDP|10073315153858667835</stp>
        <tr r="H159" s="1"/>
      </tp>
      <tp t="s">
        <v>#N/A N/A</v>
        <stp/>
        <stp>BDP|14107846503613544950</stp>
        <tr r="I162" s="1"/>
      </tp>
      <tp t="s">
        <v>#N/A N/A</v>
        <stp/>
        <stp>BDP|13387320959655252720</stp>
        <tr r="H351" s="1"/>
      </tp>
      <tp t="s">
        <v>#N/A N/A</v>
        <stp/>
        <stp>BDP|11834668747155443152</stp>
        <tr r="I30" s="1"/>
      </tp>
      <tp t="s">
        <v>#N/A N/A</v>
        <stp/>
        <stp>BDP|11948217654321351073</stp>
        <tr r="I330" s="1"/>
      </tp>
      <tp t="s">
        <v>#N/A N/A</v>
        <stp/>
        <stp>BDP|11392453074215906005</stp>
        <tr r="I266" s="1"/>
      </tp>
      <tp t="s">
        <v>#N/A N/A</v>
        <stp/>
        <stp>BDP|16779497903193629610</stp>
        <tr r="H164" s="1"/>
      </tp>
      <tp t="s">
        <v>#N/A N/A</v>
        <stp/>
        <stp>BDP|11867561475511448556</stp>
        <tr r="I236" s="1"/>
      </tp>
      <tp t="s">
        <v>#N/A N/A</v>
        <stp/>
        <stp>BDP|16527548242885802516</stp>
        <tr r="I367" s="1"/>
      </tp>
      <tp t="s">
        <v>#N/A N/A</v>
        <stp/>
        <stp>BDP|17325208178276589344</stp>
        <tr r="I179" s="1"/>
      </tp>
      <tp t="s">
        <v>#N/A N/A</v>
        <stp/>
        <stp>BDP|10592917541552945809</stp>
        <tr r="I81" s="1"/>
      </tp>
      <tp t="s">
        <v>#N/A N/A</v>
        <stp/>
        <stp>BDP|15599667700330565493</stp>
        <tr r="H299" s="1"/>
      </tp>
      <tp t="s">
        <v>#N/A N/A</v>
        <stp/>
        <stp>BDP|13336510714137110783</stp>
        <tr r="I377" s="1"/>
      </tp>
      <tp t="s">
        <v>#N/A N/A</v>
        <stp/>
        <stp>BDP|15152785875901587376</stp>
        <tr r="H213" s="1"/>
      </tp>
      <tp t="s">
        <v>#N/A N/A</v>
        <stp/>
        <stp>BDP|17415555628397231051</stp>
        <tr r="I178" s="1"/>
      </tp>
      <tp t="s">
        <v>#N/A N/A</v>
        <stp/>
        <stp>BDP|10861012651665146781</stp>
        <tr r="H266" s="1"/>
      </tp>
      <tp t="s">
        <v>#N/A N/A</v>
        <stp/>
        <stp>BDP|15606970483431167238</stp>
        <tr r="I315" s="1"/>
      </tp>
      <tp t="s">
        <v>#N/A N/A</v>
        <stp/>
        <stp>BDP|16772965141324016801</stp>
        <tr r="H302" s="1"/>
      </tp>
      <tp t="s">
        <v>#N/A N/A</v>
        <stp/>
        <stp>BDP|16264057881580789919</stp>
        <tr r="I88" s="1"/>
      </tp>
      <tp t="s">
        <v>#N/A N/A</v>
        <stp/>
        <stp>BDP|12060039750281512155</stp>
        <tr r="H195" s="1"/>
      </tp>
      <tp t="s">
        <v>#N/A N/A</v>
        <stp/>
        <stp>BDP|17287147569656413186</stp>
        <tr r="I96" s="1"/>
      </tp>
      <tp t="s">
        <v>#N/A N/A</v>
        <stp/>
        <stp>BDP|17543007013717500600</stp>
        <tr r="I181" s="1"/>
      </tp>
      <tp t="s">
        <v>#N/A N/A</v>
        <stp/>
        <stp>BDP|11633658061020623660</stp>
        <tr r="H169" s="1"/>
      </tp>
      <tp t="s">
        <v>#N/A N/A</v>
        <stp/>
        <stp>BDP|12808535815826984759</stp>
        <tr r="H108" s="1"/>
      </tp>
      <tp t="s">
        <v>#N/A N/A</v>
        <stp/>
        <stp>BDP|12103787913176933513</stp>
        <tr r="H353" s="1"/>
      </tp>
      <tp t="s">
        <v>#N/A N/A</v>
        <stp/>
        <stp>BDP|13267455115534187564</stp>
        <tr r="H267" s="1"/>
      </tp>
      <tp t="s">
        <v>#N/A N/A</v>
        <stp/>
        <stp>BDP|16067825673259176747</stp>
        <tr r="I24" s="1"/>
      </tp>
      <tp t="s">
        <v>#N/A N/A</v>
        <stp/>
        <stp>BDP|12895497701642628311</stp>
        <tr r="H111" s="1"/>
      </tp>
      <tp t="s">
        <v>#N/A N/A</v>
        <stp/>
        <stp>BDP|12649177660557445528</stp>
        <tr r="H174" s="1"/>
      </tp>
      <tp t="s">
        <v>#N/A N/A</v>
        <stp/>
        <stp>BDP|16654366425154094429</stp>
        <tr r="I260" s="1"/>
      </tp>
      <tp t="s">
        <v>#N/A N/A</v>
        <stp/>
        <stp>BDP|10893841690632868424</stp>
        <tr r="I174" s="1"/>
      </tp>
      <tp t="s">
        <v>#N/A N/A</v>
        <stp/>
        <stp>BDP|16896447008963024627</stp>
        <tr r="I403" s="1"/>
      </tp>
      <tp t="s">
        <v>#N/A N/A</v>
        <stp/>
        <stp>BDP|11605983296205997087</stp>
        <tr r="I159" s="1"/>
      </tp>
      <tp t="s">
        <v>#N/A N/A</v>
        <stp/>
        <stp>BDP|10010116327652926566</stp>
        <tr r="H413" s="1"/>
      </tp>
      <tp t="s">
        <v>#N/A N/A</v>
        <stp/>
        <stp>BDP|17204101184178818252</stp>
        <tr r="H178" s="1"/>
      </tp>
      <tp t="s">
        <v>#N/A N/A</v>
        <stp/>
        <stp>BDP|14034375568212653720</stp>
        <tr r="H119" s="1"/>
      </tp>
      <tp t="s">
        <v>#N/A N/A</v>
        <stp/>
        <stp>BDP|17891237765477135053</stp>
        <tr r="H382" s="1"/>
      </tp>
      <tp t="s">
        <v>#N/A N/A</v>
        <stp/>
        <stp>BDP|10244871391454744197</stp>
        <tr r="H416" s="1"/>
      </tp>
      <tp t="s">
        <v>#N/A N/A</v>
        <stp/>
        <stp>BDP|14433191691908094012</stp>
        <tr r="H34" s="1"/>
      </tp>
      <tp t="s">
        <v>#N/A N/A</v>
        <stp/>
        <stp>BDP|16034286605707792741</stp>
        <tr r="I240" s="1"/>
      </tp>
      <tp t="s">
        <v>#N/A N/A</v>
        <stp/>
        <stp>BDP|14603908796782778294</stp>
        <tr r="I149" s="1"/>
      </tp>
      <tp t="s">
        <v>#N/A N/A</v>
        <stp/>
        <stp>BDP|11352320868308246857</stp>
        <tr r="I329" s="1"/>
      </tp>
      <tp t="s">
        <v>#N/A N/A</v>
        <stp/>
        <stp>BDP|11770320860648079849</stp>
        <tr r="H394" s="1"/>
      </tp>
      <tp t="s">
        <v>#N/A N/A</v>
        <stp/>
        <stp>BDP|12471079303672346420</stp>
        <tr r="H245" s="1"/>
      </tp>
      <tp t="s">
        <v>#N/A N/A</v>
        <stp/>
        <stp>BDP|13705802905417046831</stp>
        <tr r="I168" s="1"/>
      </tp>
      <tp t="s">
        <v>#N/A N/A</v>
        <stp/>
        <stp>BDP|15386103470960444763</stp>
        <tr r="I80" s="1"/>
      </tp>
      <tp t="s">
        <v>#N/A N/A</v>
        <stp/>
        <stp>BDP|16777336252801463522</stp>
        <tr r="I7" s="1"/>
      </tp>
      <tp t="s">
        <v>#N/A N/A</v>
        <stp/>
        <stp>BDP|11980075529261342672</stp>
        <tr r="H22" s="1"/>
      </tp>
      <tp t="s">
        <v>#N/A N/A</v>
        <stp/>
        <stp>BDP|17686365396810756927</stp>
        <tr r="I53" s="1"/>
      </tp>
      <tp t="s">
        <v>#N/A N/A</v>
        <stp/>
        <stp>BDP|15223408442902241312</stp>
        <tr r="I161" s="1"/>
      </tp>
      <tp t="s">
        <v>#N/A N/A</v>
        <stp/>
        <stp>BDP|11844238928435988087</stp>
        <tr r="I417" s="1"/>
      </tp>
      <tp t="s">
        <v>#N/A N/A</v>
        <stp/>
        <stp>BDP|15600920194323791227</stp>
        <tr r="I301" s="1"/>
      </tp>
      <tp t="s">
        <v>#N/A N/A</v>
        <stp/>
        <stp>BDP|16557555502917757000</stp>
        <tr r="H318" s="1"/>
      </tp>
      <tp t="s">
        <v>#N/A N/A</v>
        <stp/>
        <stp>BDP|10364750956304759219</stp>
        <tr r="I393" s="1"/>
      </tp>
      <tp t="s">
        <v>#N/A N/A</v>
        <stp/>
        <stp>BDP|10298252764241240173</stp>
        <tr r="H217" s="1"/>
      </tp>
      <tp t="s">
        <v>#N/A N/A</v>
        <stp/>
        <stp>BDP|18091210329145688878</stp>
        <tr r="I25" s="1"/>
      </tp>
      <tp t="s">
        <v>#N/A N/A</v>
        <stp/>
        <stp>BDP|12379040851255765790</stp>
        <tr r="I208" s="1"/>
      </tp>
      <tp t="s">
        <v>#N/A N/A</v>
        <stp/>
        <stp>BDP|13815744155063064712</stp>
        <tr r="H38" s="1"/>
      </tp>
      <tp t="s">
        <v>#N/A N/A</v>
        <stp/>
        <stp>BDP|17871738761577780455</stp>
        <tr r="I344" s="1"/>
      </tp>
      <tp t="s">
        <v>#N/A N/A</v>
        <stp/>
        <stp>BDP|16582252794191787999</stp>
        <tr r="I424" s="1"/>
      </tp>
      <tp t="s">
        <v>#N/A N/A</v>
        <stp/>
        <stp>BDP|14158883472729736717</stp>
        <tr r="H349" s="1"/>
      </tp>
      <tp t="s">
        <v>#N/A N/A</v>
        <stp/>
        <stp>BDP|11530517832887320595</stp>
        <tr r="I295" s="1"/>
      </tp>
      <tp t="s">
        <v>#N/A N/A</v>
        <stp/>
        <stp>BDP|15822534356193186301</stp>
        <tr r="H27" s="1"/>
      </tp>
      <tp t="s">
        <v>#N/A N/A</v>
        <stp/>
        <stp>BDP|13120124116272898419</stp>
        <tr r="H42" s="1"/>
      </tp>
      <tp t="s">
        <v>#N/A N/A</v>
        <stp/>
        <stp>BDP|17300527579111746109</stp>
        <tr r="I223" s="1"/>
      </tp>
      <tp t="s">
        <v>#N/A N/A</v>
        <stp/>
        <stp>BDP|11503409999781224813</stp>
        <tr r="H101" s="1"/>
      </tp>
      <tp t="s">
        <v>#N/A N/A</v>
        <stp/>
        <stp>BDP|11304106748650607122</stp>
        <tr r="H360" s="1"/>
      </tp>
      <tp t="s">
        <v>#N/A N/A</v>
        <stp/>
        <stp>BDP|12420778433402688196</stp>
        <tr r="H59" s="1"/>
      </tp>
      <tp t="s">
        <v>#N/A N/A</v>
        <stp/>
        <stp>BDP|17610289776126584125</stp>
        <tr r="H356" s="1"/>
      </tp>
      <tp t="s">
        <v>#N/A N/A</v>
        <stp/>
        <stp>BDP|15504195627996130545</stp>
        <tr r="I316" s="1"/>
      </tp>
      <tp t="s">
        <v>#N/A N/A</v>
        <stp/>
        <stp>BDP|15573491524987552136</stp>
        <tr r="H182" s="1"/>
      </tp>
      <tp t="s">
        <v>#N/A N/A</v>
        <stp/>
        <stp>BDP|12105294395604547865</stp>
        <tr r="I175" s="1"/>
      </tp>
      <tp t="s">
        <v>#N/A N/A</v>
        <stp/>
        <stp>BDP|16403718170460611320</stp>
        <tr r="I320" s="1"/>
      </tp>
      <tp t="s">
        <v>#N/A N/A</v>
        <stp/>
        <stp>BDP|10297046544647560662</stp>
        <tr r="I104" s="1"/>
      </tp>
      <tp t="s">
        <v>#N/A N/A</v>
        <stp/>
        <stp>BDP|17227078095879781269</stp>
        <tr r="I200" s="1"/>
      </tp>
      <tp t="s">
        <v>#N/A N/A</v>
        <stp/>
        <stp>BDP|11848462369503193569</stp>
        <tr r="I249" s="1"/>
      </tp>
      <tp t="s">
        <v>#N/A N/A</v>
        <stp/>
        <stp>BDP|10689536625922628062</stp>
        <tr r="H374" s="1"/>
      </tp>
      <tp t="s">
        <v>#N/A N/A</v>
        <stp/>
        <stp>BDP|10183043461116511523</stp>
        <tr r="I93" s="1"/>
      </tp>
      <tp t="s">
        <v>#N/A N/A</v>
        <stp/>
        <stp>BDP|15795847669846957800</stp>
        <tr r="H64" s="1"/>
      </tp>
      <tp t="s">
        <v>#N/A N/A</v>
        <stp/>
        <stp>BDP|12439486417266842419</stp>
        <tr r="H176" s="1"/>
      </tp>
      <tp t="s">
        <v>#N/A N/A</v>
        <stp/>
        <stp>BDP|17668445533884324106</stp>
        <tr r="I56" s="1"/>
      </tp>
      <tp t="s">
        <v>#N/A N/A</v>
        <stp/>
        <stp>BDP|17115638230076068101</stp>
        <tr r="H85" s="1"/>
      </tp>
      <tp t="s">
        <v>#N/A N/A</v>
        <stp/>
        <stp>BDP|17842333243246499394</stp>
        <tr r="H259" s="1"/>
      </tp>
      <tp t="s">
        <v>#N/A N/A</v>
        <stp/>
        <stp>BDP|13658267323295074369</stp>
        <tr r="H137" s="1"/>
      </tp>
      <tp t="s">
        <v>#N/A N/A</v>
        <stp/>
        <stp>BDP|11379387874846936637</stp>
        <tr r="H80" s="1"/>
      </tp>
      <tp t="s">
        <v>#N/A N/A</v>
        <stp/>
        <stp>BDP|10373113953640188159</stp>
        <tr r="H7" s="1"/>
      </tp>
      <tp t="s">
        <v>#N/A N/A</v>
        <stp/>
        <stp>BDP|14159505429391809755</stp>
        <tr r="I234" s="1"/>
      </tp>
      <tp t="s">
        <v>#N/A N/A</v>
        <stp/>
        <stp>BDP|15683746649737928463</stp>
        <tr r="H433" s="1"/>
      </tp>
      <tp t="s">
        <v>#N/A N/A</v>
        <stp/>
        <stp>BDP|16087117304196434452</stp>
        <tr r="I282" s="1"/>
      </tp>
      <tp t="s">
        <v>#N/A N/A</v>
        <stp/>
        <stp>BDP|12225131871491178052</stp>
        <tr r="I328" s="1"/>
      </tp>
      <tp t="s">
        <v>#N/A N/A</v>
        <stp/>
        <stp>BDP|14739274527436356706</stp>
        <tr r="H273" s="1"/>
      </tp>
      <tp t="s">
        <v>#N/A N/A</v>
        <stp/>
        <stp>BDP|17986257949822872697</stp>
        <tr r="I182" s="1"/>
      </tp>
    </main>
    <main first="bofaddin.rtdserver">
      <tp t="s">
        <v>#N/A N/A</v>
        <stp/>
        <stp>BDP|9866148260464624604</stp>
        <tr r="I114" s="1"/>
      </tp>
      <tp t="s">
        <v>#N/A N/A</v>
        <stp/>
        <stp>BDP|4443518991152666688</stp>
        <tr r="H398" s="1"/>
      </tp>
      <tp t="s">
        <v>#N/A N/A</v>
        <stp/>
        <stp>BDP|9740232101232886565</stp>
        <tr r="I235" s="1"/>
      </tp>
      <tp t="s">
        <v>#N/A N/A</v>
        <stp/>
        <stp>BDP|1499734794181856204</stp>
        <tr r="H96" s="1"/>
      </tp>
      <tp t="s">
        <v>#N/A N/A</v>
        <stp/>
        <stp>BDP|1993446895460285013</stp>
        <tr r="I411" s="1"/>
      </tp>
      <tp t="s">
        <v>#N/A N/A</v>
        <stp/>
        <stp>BDP|8632440026441805351</stp>
        <tr r="H67" s="1"/>
      </tp>
      <tp t="s">
        <v>#N/A N/A</v>
        <stp/>
        <stp>BDP|3979478063378480579</stp>
        <tr r="H58" s="1"/>
      </tp>
      <tp t="s">
        <v>#N/A N/A</v>
        <stp/>
        <stp>BDP|5043309186693892101</stp>
        <tr r="I97" s="1"/>
      </tp>
      <tp t="s">
        <v>#N/A N/A</v>
        <stp/>
        <stp>BDP|3408991930240345515</stp>
        <tr r="I95" s="1"/>
      </tp>
      <tp t="s">
        <v>#N/A N/A</v>
        <stp/>
        <stp>BDP|3662873594277322992</stp>
        <tr r="H106" s="1"/>
      </tp>
      <tp t="s">
        <v>#N/A N/A</v>
        <stp/>
        <stp>BDP|8438889641060864891</stp>
        <tr r="I250" s="1"/>
      </tp>
      <tp t="s">
        <v>#N/A N/A</v>
        <stp/>
        <stp>BDP|3480856161714950550</stp>
        <tr r="H163" s="1"/>
      </tp>
      <tp t="s">
        <v>#N/A N/A</v>
        <stp/>
        <stp>BDP|9371998116884280934</stp>
        <tr r="H427" s="1"/>
      </tp>
      <tp t="s">
        <v>#N/A N/A</v>
        <stp/>
        <stp>BDP|3947900404375014308</stp>
        <tr r="H352" s="1"/>
      </tp>
      <tp t="s">
        <v>#N/A N/A</v>
        <stp/>
        <stp>BDP|2657764450835223902</stp>
        <tr r="H179" s="1"/>
      </tp>
      <tp t="s">
        <v>#N/A N/A</v>
        <stp/>
        <stp>BDP|4808971313739666982</stp>
        <tr r="I65" s="1"/>
      </tp>
      <tp t="s">
        <v>#N/A N/A</v>
        <stp/>
        <stp>BDP|9723556034947204478</stp>
        <tr r="H140" s="1"/>
      </tp>
      <tp t="s">
        <v>#N/A N/A</v>
        <stp/>
        <stp>BDP|4831952568886725123</stp>
        <tr r="I423" s="1"/>
      </tp>
      <tp t="s">
        <v>#N/A N/A</v>
        <stp/>
        <stp>BDP|1527212450082493804</stp>
        <tr r="I32" s="1"/>
      </tp>
      <tp t="s">
        <v>#N/A N/A</v>
        <stp/>
        <stp>BDP|9430177962931762366</stp>
        <tr r="H160" s="1"/>
      </tp>
      <tp t="s">
        <v>#N/A N/A</v>
        <stp/>
        <stp>BDP|7760228327428510377</stp>
        <tr r="H308" s="1"/>
      </tp>
      <tp t="s">
        <v>#N/A N/A</v>
        <stp/>
        <stp>BDP|3354573460339542517</stp>
        <tr r="I292" s="1"/>
      </tp>
      <tp t="s">
        <v>#N/A N/A</v>
        <stp/>
        <stp>BDP|1765818617631569557</stp>
        <tr r="H263" s="1"/>
      </tp>
      <tp t="s">
        <v>#N/A N/A</v>
        <stp/>
        <stp>BDP|7035704920217088911</stp>
        <tr r="I74" s="1"/>
      </tp>
      <tp t="s">
        <v>#N/A N/A</v>
        <stp/>
        <stp>BDP|3433373803218707462</stp>
        <tr r="I15" s="1"/>
      </tp>
      <tp t="s">
        <v>#N/A N/A</v>
        <stp/>
        <stp>BDP|5841993718382952312</stp>
        <tr r="I62" s="1"/>
      </tp>
      <tp t="s">
        <v>#N/A N/A</v>
        <stp/>
        <stp>BDP|5005740724248357421</stp>
        <tr r="I94" s="1"/>
      </tp>
      <tp t="s">
        <v>#N/A N/A</v>
        <stp/>
        <stp>BDP|4678233994201553225</stp>
        <tr r="I122" s="1"/>
      </tp>
      <tp t="s">
        <v>#N/A N/A</v>
        <stp/>
        <stp>BDP|7642518873108341102</stp>
        <tr r="I244" s="1"/>
      </tp>
      <tp t="s">
        <v>#N/A N/A</v>
        <stp/>
        <stp>BDP|6956246768219272707</stp>
        <tr r="H431" s="1"/>
      </tp>
      <tp t="s">
        <v>#N/A N/A</v>
        <stp/>
        <stp>BDP|9771099745756900759</stp>
        <tr r="I112" s="1"/>
      </tp>
      <tp t="s">
        <v>#N/A N/A</v>
        <stp/>
        <stp>BDP|2905452480342807036</stp>
        <tr r="I48" s="1"/>
      </tp>
      <tp t="s">
        <v>#N/A N/A</v>
        <stp/>
        <stp>BDP|7455976323436668616</stp>
        <tr r="I252" s="1"/>
      </tp>
      <tp t="s">
        <v>#N/A N/A</v>
        <stp/>
        <stp>BDP|1883345343709946323</stp>
        <tr r="H127" s="1"/>
      </tp>
      <tp t="s">
        <v>#N/A N/A</v>
        <stp/>
        <stp>BDP|3573234562668543350</stp>
        <tr r="H219" s="1"/>
      </tp>
      <tp t="s">
        <v>#N/A N/A</v>
        <stp/>
        <stp>BDP|9688267542880706315</stp>
        <tr r="H71" s="1"/>
      </tp>
      <tp t="s">
        <v>#N/A N/A</v>
        <stp/>
        <stp>BDP|5484313912793346814</stp>
        <tr r="I184" s="1"/>
      </tp>
      <tp t="s">
        <v>#N/A N/A</v>
        <stp/>
        <stp>BDP|2706454230230090970</stp>
        <tr r="H203" s="1"/>
      </tp>
      <tp t="s">
        <v>#N/A N/A</v>
        <stp/>
        <stp>BDP|1928215567478130050</stp>
        <tr r="I414" s="1"/>
      </tp>
      <tp t="s">
        <v>#N/A N/A</v>
        <stp/>
        <stp>BDP|2213765290129899854</stp>
        <tr r="H262" s="1"/>
      </tp>
      <tp t="s">
        <v>#N/A N/A</v>
        <stp/>
        <stp>BDP|2790423287594956725</stp>
        <tr r="I247" s="1"/>
      </tp>
      <tp t="s">
        <v>#N/A N/A</v>
        <stp/>
        <stp>BDP|8520957394256521387</stp>
        <tr r="I142" s="1"/>
      </tp>
      <tp t="s">
        <v>#N/A N/A</v>
        <stp/>
        <stp>BDP|3231174044763067883</stp>
        <tr r="I304" s="1"/>
      </tp>
      <tp t="s">
        <v>#N/A N/A</v>
        <stp/>
        <stp>BDP|6864899403820846337</stp>
        <tr r="H275" s="1"/>
      </tp>
      <tp t="s">
        <v>#N/A N/A</v>
        <stp/>
        <stp>BDP|9261781923217141678</stp>
        <tr r="I341" s="1"/>
      </tp>
      <tp t="s">
        <v>#N/A N/A</v>
        <stp/>
        <stp>BDP|6556626757421931956</stp>
        <tr r="H86" s="1"/>
      </tp>
      <tp t="s">
        <v>#N/A N/A</v>
        <stp/>
        <stp>BDP|6574589735828740523</stp>
        <tr r="H373" s="1"/>
      </tp>
      <tp t="s">
        <v>#N/A N/A</v>
        <stp/>
        <stp>BDP|5713794305506527936</stp>
        <tr r="H165" s="1"/>
      </tp>
      <tp t="s">
        <v>#N/A N/A</v>
        <stp/>
        <stp>BDP|4042263907733162824</stp>
        <tr r="H84" s="1"/>
      </tp>
      <tp t="s">
        <v>#N/A N/A</v>
        <stp/>
        <stp>BDP|3011527820188932185</stp>
        <tr r="I125" s="1"/>
      </tp>
      <tp t="s">
        <v>#N/A N/A</v>
        <stp/>
        <stp>BDP|5048978578525657387</stp>
        <tr r="I123" s="1"/>
      </tp>
      <tp t="s">
        <v>#N/A N/A</v>
        <stp/>
        <stp>BDP|5474181839933485908</stp>
        <tr r="H224" s="1"/>
      </tp>
      <tp t="s">
        <v>#N/A N/A</v>
        <stp/>
        <stp>BDP|7544852902477204512</stp>
        <tr r="H329" s="1"/>
      </tp>
      <tp t="s">
        <v>#N/A N/A</v>
        <stp/>
        <stp>BDP|1133868650648532939</stp>
        <tr r="H341" s="1"/>
      </tp>
      <tp t="s">
        <v>#N/A N/A</v>
        <stp/>
        <stp>BDP|8642247076938136825</stp>
        <tr r="I413" s="1"/>
      </tp>
      <tp t="s">
        <v>#N/A N/A</v>
        <stp/>
        <stp>BDP|9132376178886882611</stp>
        <tr r="H152" s="1"/>
      </tp>
      <tp t="s">
        <v>#N/A N/A</v>
        <stp/>
        <stp>BDP|7783826745861392776</stp>
        <tr r="H237" s="1"/>
      </tp>
      <tp t="s">
        <v>#N/A N/A</v>
        <stp/>
        <stp>BDP|9022230420673123763</stp>
        <tr r="H20" s="1"/>
      </tp>
      <tp t="s">
        <v>#N/A N/A</v>
        <stp/>
        <stp>BDP|6419529297233047441</stp>
        <tr r="H337" s="1"/>
      </tp>
      <tp t="s">
        <v>#N/A N/A</v>
        <stp/>
        <stp>BDP|5240852043157905070</stp>
        <tr r="I117" s="1"/>
      </tp>
      <tp t="s">
        <v>#N/A N/A</v>
        <stp/>
        <stp>BDP|1510122792315700292</stp>
        <tr r="H93" s="1"/>
      </tp>
      <tp t="s">
        <v>#N/A N/A</v>
        <stp/>
        <stp>BDP|3687467169888590745</stp>
        <tr r="H151" s="1"/>
      </tp>
      <tp t="s">
        <v>#N/A N/A</v>
        <stp/>
        <stp>BDP|9782693470405446328</stp>
        <tr r="H141" s="1"/>
      </tp>
      <tp t="s">
        <v>#N/A N/A</v>
        <stp/>
        <stp>BDP|5808933293758242331</stp>
        <tr r="H28" s="1"/>
      </tp>
      <tp t="s">
        <v>#N/A N/A</v>
        <stp/>
        <stp>BDP|2268986092944158809</stp>
        <tr r="H30" s="1"/>
      </tp>
      <tp t="s">
        <v>#N/A N/A</v>
        <stp/>
        <stp>BDP|5050028736918282083</stp>
        <tr r="I183" s="1"/>
      </tp>
      <tp t="s">
        <v>#N/A N/A</v>
        <stp/>
        <stp>BDP|7703528923759041790</stp>
        <tr r="I216" s="1"/>
      </tp>
      <tp t="s">
        <v>#N/A N/A</v>
        <stp/>
        <stp>BDP|7561078389446679722</stp>
        <tr r="I298" s="1"/>
      </tp>
      <tp t="s">
        <v>#N/A N/A</v>
        <stp/>
        <stp>BDP|6378449643800998812</stp>
        <tr r="H361" s="1"/>
      </tp>
      <tp t="s">
        <v>#N/A N/A</v>
        <stp/>
        <stp>BDP|8076936880327988069</stp>
        <tr r="I29" s="1"/>
      </tp>
      <tp t="s">
        <v>#N/A N/A</v>
        <stp/>
        <stp>BDP|5456387191835573448</stp>
        <tr r="I132" s="1"/>
      </tp>
      <tp t="s">
        <v>#N/A N/A</v>
        <stp/>
        <stp>BDP|9623012040376348598</stp>
        <tr r="H12" s="1"/>
      </tp>
      <tp t="s">
        <v>#N/A N/A</v>
        <stp/>
        <stp>BDP|9993014838575044129</stp>
        <tr r="I311" s="1"/>
      </tp>
      <tp t="s">
        <v>#N/A N/A</v>
        <stp/>
        <stp>BDP|3839362359368158354</stp>
        <tr r="H233" s="1"/>
      </tp>
      <tp t="s">
        <v>#N/A N/A</v>
        <stp/>
        <stp>BDP|8784432756055452262</stp>
        <tr r="I173" s="1"/>
      </tp>
      <tp t="s">
        <v>#N/A N/A</v>
        <stp/>
        <stp>BDP|4074239400669754155</stp>
        <tr r="H331" s="1"/>
      </tp>
      <tp t="s">
        <v>#N/A N/A</v>
        <stp/>
        <stp>BDP|4612264951128827582</stp>
        <tr r="I46" s="1"/>
      </tp>
      <tp t="s">
        <v>#N/A N/A</v>
        <stp/>
        <stp>BDP|6307799079600162841</stp>
        <tr r="H56" s="1"/>
      </tp>
      <tp t="s">
        <v>#N/A N/A</v>
        <stp/>
        <stp>BDP|6756154695093274327</stp>
        <tr r="H282" s="1"/>
      </tp>
      <tp t="s">
        <v>#N/A N/A</v>
        <stp/>
        <stp>BDP|1996622509870330950</stp>
        <tr r="I192" s="1"/>
      </tp>
      <tp t="s">
        <v>#N/A N/A</v>
        <stp/>
        <stp>BDP|8494527282808474358</stp>
        <tr r="I73" s="1"/>
      </tp>
      <tp t="s">
        <v>#N/A N/A</v>
        <stp/>
        <stp>BDP|8908033813135539294</stp>
        <tr r="H304" s="1"/>
      </tp>
      <tp t="s">
        <v>#N/A N/A</v>
        <stp/>
        <stp>BDP|9371168526055088160</stp>
        <tr r="I238" s="1"/>
      </tp>
      <tp t="s">
        <v>#N/A N/A</v>
        <stp/>
        <stp>BDP|9441116948491385245</stp>
        <tr r="H135" s="1"/>
      </tp>
      <tp t="s">
        <v>#N/A N/A</v>
        <stp/>
        <stp>BDP|5897514385426439109</stp>
        <tr r="H378" s="1"/>
      </tp>
      <tp t="s">
        <v>#N/A N/A</v>
        <stp/>
        <stp>BDP|8161890422549751450</stp>
        <tr r="I78" s="1"/>
      </tp>
      <tp t="s">
        <v>#N/A N/A</v>
        <stp/>
        <stp>BDP|3413078948109533172</stp>
        <tr r="H72" s="1"/>
      </tp>
      <tp t="s">
        <v>#N/A N/A</v>
        <stp/>
        <stp>BDP|8605607426255096691</stp>
        <tr r="I219" s="1"/>
      </tp>
      <tp t="s">
        <v>#N/A N/A</v>
        <stp/>
        <stp>BDP|8132105979833880292</stp>
        <tr r="H168" s="1"/>
      </tp>
      <tp t="s">
        <v>#N/A N/A</v>
        <stp/>
        <stp>BDP|7366814439967751458</stp>
        <tr r="H177" s="1"/>
      </tp>
      <tp t="s">
        <v>#N/A N/A</v>
        <stp/>
        <stp>BDP|2330846808656280337</stp>
        <tr r="I386" s="1"/>
      </tp>
      <tp t="s">
        <v>#N/A N/A</v>
        <stp/>
        <stp>BDP|2002023406354812931</stp>
        <tr r="H35" s="1"/>
      </tp>
      <tp t="s">
        <v>#N/A N/A</v>
        <stp/>
        <stp>BDP|4095066862848855531</stp>
        <tr r="I233" s="1"/>
      </tp>
      <tp t="s">
        <v>#N/A N/A</v>
        <stp/>
        <stp>BDP|3147997524752466577</stp>
        <tr r="I83" s="1"/>
      </tp>
      <tp t="s">
        <v>#N/A N/A</v>
        <stp/>
        <stp>BDP|5913009879018890574</stp>
        <tr r="I264" s="1"/>
      </tp>
      <tp t="s">
        <v>#N/A N/A</v>
        <stp/>
        <stp>BDP|4645260704321946818</stp>
        <tr r="H149" s="1"/>
      </tp>
      <tp t="s">
        <v>#N/A N/A</v>
        <stp/>
        <stp>BDP|9861259073921211204</stp>
        <tr r="H186" s="1"/>
      </tp>
      <tp t="s">
        <v>#N/A N/A</v>
        <stp/>
        <stp>BDP|9878297056485055478</stp>
        <tr r="I151" s="1"/>
      </tp>
      <tp t="s">
        <v>#N/A N/A</v>
        <stp/>
        <stp>BDP|1696878003731638748</stp>
        <tr r="I430" s="1"/>
      </tp>
      <tp t="s">
        <v>#N/A N/A</v>
        <stp/>
        <stp>BDP|5690631954250075902</stp>
        <tr r="H212" s="1"/>
      </tp>
      <tp t="s">
        <v>#N/A N/A</v>
        <stp/>
        <stp>BDP|5726662845429195142</stp>
        <tr r="I368" s="1"/>
      </tp>
      <tp t="s">
        <v>#N/A N/A</v>
        <stp/>
        <stp>BDP|2226661596360429273</stp>
        <tr r="H346" s="1"/>
      </tp>
      <tp t="s">
        <v>#N/A N/A</v>
        <stp/>
        <stp>BDP|8985374849174972489</stp>
        <tr r="H105" s="1"/>
      </tp>
      <tp t="s">
        <v>#N/A N/A</v>
        <stp/>
        <stp>BDP|8487702105752392266</stp>
        <tr r="H289" s="1"/>
      </tp>
      <tp t="s">
        <v>#N/A N/A</v>
        <stp/>
        <stp>BDP|1600457517743112816</stp>
        <tr r="H65" s="1"/>
      </tp>
      <tp t="s">
        <v>#N/A N/A</v>
        <stp/>
        <stp>BDP|6666876407762416484</stp>
        <tr r="H381" s="1"/>
      </tp>
      <tp t="s">
        <v>#N/A N/A</v>
        <stp/>
        <stp>BDP|1431162426599869365</stp>
        <tr r="I43" s="1"/>
      </tp>
      <tp t="s">
        <v>#N/A N/A</v>
        <stp/>
        <stp>BDP|2096589476271359966</stp>
        <tr r="I212" s="1"/>
      </tp>
      <tp t="s">
        <v>#N/A N/A</v>
        <stp/>
        <stp>BDP|1961783481830952612</stp>
        <tr r="H98" s="1"/>
      </tp>
      <tp t="s">
        <v>#N/A N/A</v>
        <stp/>
        <stp>BDP|1454649280300753797</stp>
        <tr r="I102" s="1"/>
      </tp>
      <tp t="s">
        <v>#N/A N/A</v>
        <stp/>
        <stp>BDP|9435501554347486689</stp>
        <tr r="I190" s="1"/>
      </tp>
      <tp t="s">
        <v>#N/A N/A</v>
        <stp/>
        <stp>BDP|4368039768842687833</stp>
        <tr r="H60" s="1"/>
      </tp>
      <tp t="s">
        <v>#N/A N/A</v>
        <stp/>
        <stp>BDP|5107240995825582382</stp>
        <tr r="I129" s="1"/>
      </tp>
      <tp t="s">
        <v>#N/A N/A</v>
        <stp/>
        <stp>BDP|8800383716336363480</stp>
        <tr r="I228" s="1"/>
      </tp>
      <tp t="s">
        <v>#N/A N/A</v>
        <stp/>
        <stp>BDP|6724721677579374730</stp>
        <tr r="I272" s="1"/>
      </tp>
      <tp t="s">
        <v>#N/A N/A</v>
        <stp/>
        <stp>BDP|6647510338620961856</stp>
        <tr r="I106" s="1"/>
      </tp>
      <tp t="s">
        <v>#N/A N/A</v>
        <stp/>
        <stp>BDP|5318758466094616865</stp>
        <tr r="I351" s="1"/>
      </tp>
      <tp t="s">
        <v>#N/A N/A</v>
        <stp/>
        <stp>BDP|8984858089964639437</stp>
        <tr r="I425" s="1"/>
      </tp>
      <tp t="s">
        <v>#N/A N/A</v>
        <stp/>
        <stp>BDP|4684620554327500858</stp>
        <tr r="H192" s="1"/>
      </tp>
      <tp t="s">
        <v>#N/A N/A</v>
        <stp/>
        <stp>BDP|7664584088345613703</stp>
        <tr r="H225" s="1"/>
      </tp>
      <tp t="s">
        <v>#N/A N/A</v>
        <stp/>
        <stp>BDP|4230003750648747150</stp>
        <tr r="H242" s="1"/>
      </tp>
      <tp t="s">
        <v>#N/A N/A</v>
        <stp/>
        <stp>BDP|9503133743270628420</stp>
        <tr r="H403" s="1"/>
      </tp>
      <tp t="s">
        <v>#N/A N/A</v>
        <stp/>
        <stp>BDP|7084803602127553013</stp>
        <tr r="H193" s="1"/>
      </tp>
      <tp t="s">
        <v>#N/A N/A</v>
        <stp/>
        <stp>BDP|1814530038736616920</stp>
        <tr r="H162" s="1"/>
      </tp>
      <tp t="s">
        <v>#N/A N/A</v>
        <stp/>
        <stp>BDP|9337638256791697345</stp>
        <tr r="I313" s="1"/>
      </tp>
      <tp t="s">
        <v>#N/A N/A</v>
        <stp/>
        <stp>BDP|6502509730439617161</stp>
        <tr r="H426" s="1"/>
      </tp>
      <tp t="s">
        <v>#N/A N/A</v>
        <stp/>
        <stp>BDP|2369964661006523342</stp>
        <tr r="I358" s="1"/>
      </tp>
      <tp t="s">
        <v>#N/A N/A</v>
        <stp/>
        <stp>BDP|1377141488652311349</stp>
        <tr r="I405" s="1"/>
      </tp>
      <tp t="s">
        <v>#N/A N/A</v>
        <stp/>
        <stp>BDP|9075026568633490564</stp>
        <tr r="H146" s="1"/>
      </tp>
      <tp t="s">
        <v>#N/A N/A</v>
        <stp/>
        <stp>BDP|5710875323704291282</stp>
        <tr r="I198" s="1"/>
      </tp>
      <tp t="s">
        <v>#N/A N/A</v>
        <stp/>
        <stp>BDP|6692852308732285504</stp>
        <tr r="I271" s="1"/>
      </tp>
      <tp t="s">
        <v>#N/A N/A</v>
        <stp/>
        <stp>BDP|5673205582214241284</stp>
        <tr r="I439" s="1"/>
      </tp>
      <tp t="s">
        <v>#N/A N/A</v>
        <stp/>
        <stp>BDP|6988339994274016101</stp>
        <tr r="H364" s="1"/>
      </tp>
      <tp t="s">
        <v>#N/A N/A</v>
        <stp/>
        <stp>BDP|6161523895500942311</stp>
        <tr r="H185" s="1"/>
      </tp>
      <tp t="s">
        <v>#N/A N/A</v>
        <stp/>
        <stp>BDP|4059482485610524177</stp>
        <tr r="H147" s="1"/>
      </tp>
      <tp t="s">
        <v>#N/A N/A</v>
        <stp/>
        <stp>BDP|8314161349216033205</stp>
        <tr r="H32" s="1"/>
      </tp>
      <tp t="s">
        <v>#N/A N/A</v>
        <stp/>
        <stp>BDP|8781580357044304564</stp>
        <tr r="H358" s="1"/>
      </tp>
      <tp t="s">
        <v>#N/A N/A</v>
        <stp/>
        <stp>BDP|8670433620707951010</stp>
        <tr r="I333" s="1"/>
      </tp>
      <tp t="s">
        <v>#N/A N/A</v>
        <stp/>
        <stp>BDP|3840711308018085536</stp>
        <tr r="H120" s="1"/>
      </tp>
      <tp t="s">
        <v>#N/A N/A</v>
        <stp/>
        <stp>BDP|4895111659550080927</stp>
        <tr r="H330" s="1"/>
      </tp>
      <tp t="s">
        <v>#N/A N/A</v>
        <stp/>
        <stp>BDP|2953044438688685001</stp>
        <tr r="H271" s="1"/>
      </tp>
      <tp t="s">
        <v>#N/A N/A</v>
        <stp/>
        <stp>BDP|3729616363528023263</stp>
        <tr r="H129" s="1"/>
      </tp>
      <tp t="s">
        <v>#N/A N/A</v>
        <stp/>
        <stp>BDP|5705019385305608151</stp>
        <tr r="H256" s="1"/>
      </tp>
      <tp t="s">
        <v>#N/A N/A</v>
        <stp/>
        <stp>BDP|1267829511211118001</stp>
        <tr r="H412" s="1"/>
      </tp>
      <tp t="s">
        <v>#N/A N/A</v>
        <stp/>
        <stp>BDP|7042976151970112279</stp>
        <tr r="I218" s="1"/>
      </tp>
      <tp t="s">
        <v>#N/A N/A</v>
        <stp/>
        <stp>BDP|5157842641898740838</stp>
        <tr r="I251" s="1"/>
      </tp>
      <tp t="s">
        <v>#N/A N/A</v>
        <stp/>
        <stp>BDP|6621960680849794776</stp>
        <tr r="I209" s="1"/>
      </tp>
      <tp t="s">
        <v>#N/A N/A</v>
        <stp/>
        <stp>BDP|8334518197949001439</stp>
        <tr r="H76" s="1"/>
      </tp>
      <tp t="s">
        <v>#N/A N/A</v>
        <stp/>
        <stp>BDP|8132194637120950307</stp>
        <tr r="I89" s="1"/>
      </tp>
      <tp t="s">
        <v>#N/A N/A</v>
        <stp/>
        <stp>BDP|8152507871691378257</stp>
        <tr r="H303" s="1"/>
      </tp>
      <tp t="s">
        <v>#N/A N/A</v>
        <stp/>
        <stp>BDP|3358467297175077253</stp>
        <tr r="I310" s="1"/>
      </tp>
      <tp t="s">
        <v>#N/A N/A</v>
        <stp/>
        <stp>BDP|2459319516570029976</stp>
        <tr r="H377" s="1"/>
      </tp>
      <tp t="s">
        <v>#N/A N/A</v>
        <stp/>
        <stp>BDP|2449830282009406259</stp>
        <tr r="H114" s="1"/>
      </tp>
      <tp t="s">
        <v>#N/A N/A</v>
        <stp/>
        <stp>BDP|8396426321072305573</stp>
        <tr r="I380" s="1"/>
      </tp>
      <tp t="s">
        <v>#N/A N/A</v>
        <stp/>
        <stp>BDP|8885443749603234230</stp>
        <tr r="I400" s="1"/>
      </tp>
      <tp t="s">
        <v>#N/A N/A</v>
        <stp/>
        <stp>BDP|2909481897544495278</stp>
        <tr r="H117" s="1"/>
      </tp>
      <tp t="s">
        <v>#N/A N/A</v>
        <stp/>
        <stp>BDP|3044380591002248118</stp>
        <tr r="H48" s="1"/>
      </tp>
      <tp t="s">
        <v>#N/A N/A</v>
        <stp/>
        <stp>BDP|3014025589866466756</stp>
        <tr r="H104" s="1"/>
      </tp>
      <tp t="s">
        <v>#N/A N/A</v>
        <stp/>
        <stp>BDP|3529828982139746096</stp>
        <tr r="H249" s="1"/>
      </tp>
      <tp t="s">
        <v>#N/A N/A</v>
        <stp/>
        <stp>BDP|7196812969202638141</stp>
        <tr r="H130" s="1"/>
      </tp>
      <tp t="s">
        <v>#N/A N/A</v>
        <stp/>
        <stp>BDP|4090534268359468462</stp>
        <tr r="H223" s="1"/>
      </tp>
      <tp t="s">
        <v>#N/A N/A</v>
        <stp/>
        <stp>BDP|4596015890137807053</stp>
        <tr r="I342" s="1"/>
      </tp>
      <tp t="s">
        <v>#N/A N/A</v>
        <stp/>
        <stp>BDP|3561985906381146134</stp>
        <tr r="H145" s="1"/>
      </tp>
      <tp t="s">
        <v>#N/A N/A</v>
        <stp/>
        <stp>BDP|4848002133919749459</stp>
        <tr r="I274" s="1"/>
      </tp>
      <tp t="s">
        <v>#N/A N/A</v>
        <stp/>
        <stp>BDP|9261184959285822258</stp>
        <tr r="H207" s="1"/>
      </tp>
      <tp t="s">
        <v>#N/A N/A</v>
        <stp/>
        <stp>BDP|9973021377241254505</stp>
        <tr r="I253" s="1"/>
      </tp>
      <tp t="s">
        <v>#N/A N/A</v>
        <stp/>
        <stp>BDP|5474293310909637549</stp>
        <tr r="I375" s="1"/>
      </tp>
      <tp t="s">
        <v>#N/A N/A</v>
        <stp/>
        <stp>BDP|8346426369397548716</stp>
        <tr r="I404" s="1"/>
      </tp>
      <tp t="s">
        <v>#N/A N/A</v>
        <stp/>
        <stp>BDP|6111617506139346391</stp>
        <tr r="H391" s="1"/>
      </tp>
      <tp t="s">
        <v>#N/A N/A</v>
        <stp/>
        <stp>BDP|4342007469841322947</stp>
        <tr r="H268" s="1"/>
      </tp>
      <tp t="s">
        <v>#N/A N/A</v>
        <stp/>
        <stp>BDP|8812462661426464663</stp>
        <tr r="I428" s="1"/>
      </tp>
      <tp t="s">
        <v>#N/A N/A</v>
        <stp/>
        <stp>BDP|3945241902129199239</stp>
        <tr r="H301" s="1"/>
      </tp>
      <tp t="s">
        <v>#N/A N/A</v>
        <stp/>
        <stp>BDP|2365925465270155769</stp>
        <tr r="H368" s="1"/>
      </tp>
      <tp t="s">
        <v>#N/A N/A</v>
        <stp/>
        <stp>BDP|3827698041739485270</stp>
        <tr r="H246" s="1"/>
      </tp>
      <tp t="s">
        <v>#N/A N/A</v>
        <stp/>
        <stp>BDP|2272603783766138004</stp>
        <tr r="I44" s="1"/>
      </tp>
      <tp t="s">
        <v>#N/A N/A</v>
        <stp/>
        <stp>BDP|9757009770082217646</stp>
        <tr r="I55" s="1"/>
      </tp>
      <tp t="s">
        <v>#N/A N/A</v>
        <stp/>
        <stp>BDP|9422664394338083472</stp>
        <tr r="H274" s="1"/>
      </tp>
      <tp t="s">
        <v>#N/A N/A</v>
        <stp/>
        <stp>BDP|1822367485033446398</stp>
        <tr r="H389" s="1"/>
      </tp>
      <tp t="s">
        <v>#N/A N/A</v>
        <stp/>
        <stp>BDP|4516874734324220104</stp>
        <tr r="I205" s="1"/>
      </tp>
      <tp t="s">
        <v>#N/A N/A</v>
        <stp/>
        <stp>BDP|4736134249899036283</stp>
        <tr r="I229" s="1"/>
      </tp>
      <tp t="s">
        <v>#N/A N/A</v>
        <stp/>
        <stp>BDP|9338081533829502989</stp>
        <tr r="I402" s="1"/>
      </tp>
      <tp t="s">
        <v>#N/A N/A</v>
        <stp/>
        <stp>BDP|6227138270192897931</stp>
        <tr r="I37" s="1"/>
      </tp>
      <tp t="s">
        <v>#N/A N/A</v>
        <stp/>
        <stp>BDP|1241058992726934571</stp>
        <tr r="I160" s="1"/>
      </tp>
      <tp t="s">
        <v>#N/A N/A</v>
        <stp/>
        <stp>BDP|7869558988816866765</stp>
        <tr r="I199" s="1"/>
      </tp>
      <tp t="s">
        <v>#N/A N/A</v>
        <stp/>
        <stp>BDP|2519081790857615721</stp>
        <tr r="H290" s="1"/>
      </tp>
      <tp t="s">
        <v>#N/A N/A</v>
        <stp/>
        <stp>BDP|6954869048524703594</stp>
        <tr r="H392" s="1"/>
      </tp>
      <tp t="s">
        <v>#N/A N/A</v>
        <stp/>
        <stp>BDP|5457329009618503539</stp>
        <tr r="I152" s="1"/>
      </tp>
      <tp t="s">
        <v>#N/A N/A</v>
        <stp/>
        <stp>BDP|9555295135750427328</stp>
        <tr r="H408" s="1"/>
      </tp>
      <tp t="s">
        <v>#N/A N/A</v>
        <stp/>
        <stp>BDP|8647047344222012592</stp>
        <tr r="H24" s="1"/>
      </tp>
      <tp t="s">
        <v>#N/A N/A</v>
        <stp/>
        <stp>BDP|8396346751180390581</stp>
        <tr r="I135" s="1"/>
      </tp>
      <tp t="s">
        <v>#N/A N/A</v>
        <stp/>
        <stp>BDP|4679326757288589145</stp>
        <tr r="I8" s="1"/>
      </tp>
      <tp t="s">
        <v>#N/A N/A</v>
        <stp/>
        <stp>BDP|9018577171059665921</stp>
        <tr r="H216" s="1"/>
      </tp>
      <tp t="s">
        <v>#N/A N/A</v>
        <stp/>
        <stp>BDP|3462157389605317494</stp>
        <tr r="I210" s="1"/>
      </tp>
      <tp t="s">
        <v>#N/A N/A</v>
        <stp/>
        <stp>BDP|8713519932386358345</stp>
        <tr r="H92" s="1"/>
      </tp>
      <tp t="s">
        <v>#N/A N/A</v>
        <stp/>
        <stp>BDP|4279770134002362916</stp>
        <tr r="I262" s="1"/>
      </tp>
      <tp t="s">
        <v>#N/A N/A</v>
        <stp/>
        <stp>BDP|4840706226492892875</stp>
        <tr r="H383" s="1"/>
      </tp>
      <tp t="s">
        <v>#N/A N/A</v>
        <stp/>
        <stp>BDP|5586138406969074662</stp>
        <tr r="I245" s="1"/>
      </tp>
      <tp t="s">
        <v>#N/A N/A</v>
        <stp/>
        <stp>BDP|6366507671087499817</stp>
        <tr r="H340" s="1"/>
      </tp>
      <tp t="s">
        <v>#N/A N/A</v>
        <stp/>
        <stp>BDP|5181216037799641655</stp>
        <tr r="H406" s="1"/>
      </tp>
      <tp t="s">
        <v>#N/A N/A</v>
        <stp/>
        <stp>BDP|7594229866819180151</stp>
        <tr r="H25" s="1"/>
      </tp>
      <tp t="s">
        <v>#N/A N/A</v>
        <stp/>
        <stp>BDP|8911530148100405230</stp>
        <tr r="H297" s="1"/>
      </tp>
      <tp t="s">
        <v>#N/A N/A</v>
        <stp/>
        <stp>BDP|9464080027037769796</stp>
        <tr r="H298" s="1"/>
      </tp>
      <tp t="s">
        <v>#N/A N/A</v>
        <stp/>
        <stp>BDP|6450313740577992245</stp>
        <tr r="I61" s="1"/>
      </tp>
      <tp t="s">
        <v>#N/A N/A</v>
        <stp/>
        <stp>BDP|6915102663512058722</stp>
        <tr r="H400" s="1"/>
      </tp>
      <tp t="s">
        <v>#N/A N/A</v>
        <stp/>
        <stp>BDP|5426081613473510326</stp>
        <tr r="I255" s="1"/>
      </tp>
      <tp t="s">
        <v>#N/A N/A</v>
        <stp/>
        <stp>BDP|9354817699465155933</stp>
        <tr r="I395" s="1"/>
      </tp>
      <tp t="s">
        <v>#N/A N/A</v>
        <stp/>
        <stp>BDP|7826071436474317433</stp>
        <tr r="I197" s="1"/>
      </tp>
      <tp t="s">
        <v>#N/A N/A</v>
        <stp/>
        <stp>BDP|1161222543110842365</stp>
        <tr r="H94" s="1"/>
      </tp>
      <tp t="s">
        <v>#N/A N/A</v>
        <stp/>
        <stp>BDP|3454419648727470064</stp>
        <tr r="H258" s="1"/>
      </tp>
      <tp t="s">
        <v>#N/A N/A</v>
        <stp/>
        <stp>BDP|2987732827664130735</stp>
        <tr r="H220" s="1"/>
      </tp>
      <tp t="s">
        <v>#N/A N/A</v>
        <stp/>
        <stp>BDP|5735424764111800269</stp>
        <tr r="I128" s="1"/>
      </tp>
      <tp t="s">
        <v>#N/A N/A</v>
        <stp/>
        <stp>BDP|5418175608009019945</stp>
        <tr r="H415" s="1"/>
      </tp>
      <tp t="s">
        <v>#N/A N/A</v>
        <stp/>
        <stp>BDP|6150823155828298786</stp>
        <tr r="H236" s="1"/>
      </tp>
      <tp t="s">
        <v>#N/A N/A</v>
        <stp/>
        <stp>BDP|6317825928080016844</stp>
        <tr r="I379" s="1"/>
      </tp>
      <tp t="s">
        <v>#N/A N/A</v>
        <stp/>
        <stp>BDP|2042310245673016292</stp>
        <tr r="I144" s="1"/>
      </tp>
      <tp t="s">
        <v>#N/A N/A</v>
        <stp/>
        <stp>BDP|7618553036933734600</stp>
        <tr r="H362" s="1"/>
      </tp>
      <tp t="s">
        <v>#N/A N/A</v>
        <stp/>
        <stp>BDP|7390672226455453247</stp>
        <tr r="I38" s="1"/>
      </tp>
      <tp t="s">
        <v>#N/A N/A</v>
        <stp/>
        <stp>BDP|2393396118982969691</stp>
        <tr r="I335" s="1"/>
      </tp>
      <tp t="s">
        <v>#N/A N/A</v>
        <stp/>
        <stp>BDP|4116175334010726268</stp>
        <tr r="H239" s="1"/>
      </tp>
      <tp t="s">
        <v>#N/A N/A</v>
        <stp/>
        <stp>BDP|5298268952315575334</stp>
        <tr r="H175" s="1"/>
      </tp>
      <tp t="s">
        <v>#N/A N/A</v>
        <stp/>
        <stp>BDP|9368372955689458255</stp>
        <tr r="H294" s="1"/>
      </tp>
      <tp t="s">
        <v>#N/A N/A</v>
        <stp/>
        <stp>BDP|5226942534878023330</stp>
        <tr r="I16" s="1"/>
      </tp>
      <tp t="s">
        <v>#N/A N/A</v>
        <stp/>
        <stp>BDP|7069575670008501939</stp>
        <tr r="H170" s="1"/>
      </tp>
      <tp t="s">
        <v>#N/A N/A</v>
        <stp/>
        <stp>BDP|3221350624461280778</stp>
        <tr r="I409" s="1"/>
      </tp>
      <tp t="s">
        <v>#N/A N/A</v>
        <stp/>
        <stp>BDP|2371276600670176401</stp>
        <tr r="I82" s="1"/>
      </tp>
      <tp t="s">
        <v>#N/A N/A</v>
        <stp/>
        <stp>BDP|4462900426142005973</stp>
        <tr r="H439" s="1"/>
      </tp>
      <tp t="s">
        <v>#N/A N/A</v>
        <stp/>
        <stp>BDP|6524948387817805549</stp>
        <tr r="H323" s="1"/>
      </tp>
      <tp t="s">
        <v>#N/A N/A</v>
        <stp/>
        <stp>BDP|5496585541309211847</stp>
        <tr r="I157" s="1"/>
      </tp>
      <tp t="s">
        <v>#N/A N/A</v>
        <stp/>
        <stp>BDP|6619523301330775694</stp>
        <tr r="I389" s="1"/>
      </tp>
      <tp t="s">
        <v>#N/A N/A</v>
        <stp/>
        <stp>BDP|5062081500658417875</stp>
        <tr r="I99" s="1"/>
      </tp>
      <tp t="s">
        <v>#N/A N/A</v>
        <stp/>
        <stp>BDP|8315038378558425278</stp>
        <tr r="H197" s="1"/>
      </tp>
      <tp t="s">
        <v>#N/A N/A</v>
        <stp/>
        <stp>BDP|8885892248433361222</stp>
        <tr r="H243" s="1"/>
      </tp>
      <tp t="s">
        <v>#N/A N/A</v>
        <stp/>
        <stp>BDP|1374991376003214977</stp>
        <tr r="H173" s="1"/>
      </tp>
      <tp t="s">
        <v>#N/A N/A</v>
        <stp/>
        <stp>BDP|9678883258320072189</stp>
        <tr r="I254" s="1"/>
      </tp>
      <tp t="s">
        <v>#N/A N/A</v>
        <stp/>
        <stp>BDP|1314781744237513048</stp>
        <tr r="H279" s="1"/>
      </tp>
      <tp t="s">
        <v>#N/A N/A</v>
        <stp/>
        <stp>BDP|3953773853990224412</stp>
        <tr r="H14" s="1"/>
      </tp>
      <tp t="s">
        <v>#N/A N/A</v>
        <stp/>
        <stp>BDP|7914864823221344914</stp>
        <tr r="I206" s="1"/>
      </tp>
      <tp t="s">
        <v>#N/A N/A</v>
        <stp/>
        <stp>BDP|6534224658063095701</stp>
        <tr r="I241" s="1"/>
      </tp>
      <tp t="s">
        <v>#N/A N/A</v>
        <stp/>
        <stp>BDP|1750412456344793183</stp>
        <tr r="H8" s="1"/>
      </tp>
      <tp t="s">
        <v>#N/A N/A</v>
        <stp/>
        <stp>BDP|9237302718119290742</stp>
        <tr r="I257" s="1"/>
      </tp>
      <tp t="s">
        <v>#N/A N/A</v>
        <stp/>
        <stp>BDP|9416840108154683025</stp>
        <tr r="I263" s="1"/>
      </tp>
      <tp t="s">
        <v>#N/A N/A</v>
        <stp/>
        <stp>BDP|4625798523981494549</stp>
        <tr r="H218" s="1"/>
      </tp>
      <tp t="s">
        <v>#N/A N/A</v>
        <stp/>
        <stp>BDP|9050973945597821678</stp>
        <tr r="H39" s="1"/>
      </tp>
      <tp t="s">
        <v>#N/A N/A</v>
        <stp/>
        <stp>BDP|9508186873442720842</stp>
        <tr r="I11" s="1"/>
      </tp>
      <tp t="s">
        <v>#N/A N/A</v>
        <stp/>
        <stp>BDP|5929465872597689468</stp>
        <tr r="H91" s="1"/>
      </tp>
      <tp t="s">
        <v>#N/A N/A</v>
        <stp/>
        <stp>BDP|4155890911238975024</stp>
        <tr r="H343" s="1"/>
      </tp>
      <tp t="s">
        <v>#N/A N/A</v>
        <stp/>
        <stp>BDP|1754938737146650868</stp>
        <tr r="I154" s="1"/>
      </tp>
      <tp t="s">
        <v>#N/A N/A</v>
        <stp/>
        <stp>BDP|7493501688996454997</stp>
        <tr r="H29" s="1"/>
      </tp>
      <tp t="s">
        <v>#N/A N/A</v>
        <stp/>
        <stp>BDP|1470637101827050506</stp>
        <tr r="H138" s="1"/>
      </tp>
      <tp t="s">
        <v>#N/A N/A</v>
        <stp/>
        <stp>BDP|1505453107475130506</stp>
        <tr r="H320" s="1"/>
      </tp>
      <tp t="s">
        <v>#N/A N/A</v>
        <stp/>
        <stp>BDP|2872496747580021703</stp>
        <tr r="I100" s="1"/>
      </tp>
      <tp t="s">
        <v>#N/A N/A</v>
        <stp/>
        <stp>BDP|9588233294884192372</stp>
        <tr r="I399" s="1"/>
      </tp>
      <tp t="s">
        <v>#N/A N/A</v>
        <stp/>
        <stp>BDP|1287521352263709703</stp>
        <tr r="H342" s="1"/>
      </tp>
      <tp t="s">
        <v>#N/A N/A</v>
        <stp/>
        <stp>BDP|1111577754957828023</stp>
        <tr r="H292" s="1"/>
      </tp>
      <tp t="s">
        <v>#N/A N/A</v>
        <stp/>
        <stp>BDP|6593877299344687552</stp>
        <tr r="I438" s="1"/>
      </tp>
      <tp t="s">
        <v>#N/A N/A</v>
        <stp/>
        <stp>BDP|1803138164399608976</stp>
        <tr r="H429" s="1"/>
      </tp>
      <tp t="s">
        <v>#N/A N/A</v>
        <stp/>
        <stp>BDP|4820535419535595397</stp>
        <tr r="I156" s="1"/>
      </tp>
      <tp t="s">
        <v>#N/A N/A</v>
        <stp/>
        <stp>BDP|7772076372092459486</stp>
        <tr r="I327" s="1"/>
      </tp>
      <tp t="s">
        <v>#N/A N/A</v>
        <stp/>
        <stp>BDP|2709647217912253196</stp>
        <tr r="I31" s="1"/>
      </tp>
      <tp t="s">
        <v>#N/A N/A</v>
        <stp/>
        <stp>BDP|6184545123070980701</stp>
        <tr r="I418" s="1"/>
      </tp>
      <tp t="s">
        <v>#N/A N/A</v>
        <stp/>
        <stp>BDP|5709850190066974478</stp>
        <tr r="H241" s="1"/>
      </tp>
      <tp t="s">
        <v>#N/A N/A</v>
        <stp/>
        <stp>BDP|6679545488984350950</stp>
        <tr r="H121" s="1"/>
      </tp>
      <tp t="s">
        <v>#N/A N/A</v>
        <stp/>
        <stp>BDP|4668813668099540565</stp>
        <tr r="H253" s="1"/>
      </tp>
      <tp t="s">
        <v>#N/A N/A</v>
        <stp/>
        <stp>BDP|1765367949965587505</stp>
        <tr r="H11" s="1"/>
      </tp>
      <tp t="s">
        <v>#N/A N/A</v>
        <stp/>
        <stp>BDP|6429739245970787373</stp>
        <tr r="H421" s="1"/>
      </tp>
      <tp t="s">
        <v>#N/A N/A</v>
        <stp/>
        <stp>BDP|2170932360382917998</stp>
        <tr r="I366" s="1"/>
      </tp>
      <tp t="s">
        <v>#N/A N/A</v>
        <stp/>
        <stp>BDP|9812523019019889285</stp>
        <tr r="H227" s="1"/>
      </tp>
      <tp t="s">
        <v>#N/A N/A</v>
        <stp/>
        <stp>BDP|7687135885088484077</stp>
        <tr r="I227" s="1"/>
      </tp>
      <tp t="s">
        <v>#N/A N/A</v>
        <stp/>
        <stp>BDP|4245757764675089636</stp>
        <tr r="I66" s="1"/>
      </tp>
      <tp t="s">
        <v>#N/A N/A</v>
        <stp/>
        <stp>BDP|5456403468240986156</stp>
        <tr r="I278" s="1"/>
      </tp>
      <tp t="s">
        <v>#N/A N/A</v>
        <stp/>
        <stp>BDP|6324100205689128878</stp>
        <tr r="I105" s="1"/>
      </tp>
      <tp t="s">
        <v>#N/A N/A</v>
        <stp/>
        <stp>BDP|5281677036303743546</stp>
        <tr r="I259" s="1"/>
      </tp>
      <tp t="s">
        <v>#N/A N/A</v>
        <stp/>
        <stp>BDP|9720928436874686148</stp>
        <tr r="H200" s="1"/>
      </tp>
      <tp t="s">
        <v>#N/A N/A</v>
        <stp/>
        <stp>BDP|5052681308190793516</stp>
        <tr r="H369" s="1"/>
      </tp>
      <tp t="s">
        <v>#N/A N/A</v>
        <stp/>
        <stp>BDP|7510589870702975136</stp>
        <tr r="I124" s="1"/>
      </tp>
      <tp t="s">
        <v>#N/A N/A</v>
        <stp/>
        <stp>BDP|7770086314714833441</stp>
        <tr r="H99" s="1"/>
      </tp>
      <tp t="s">
        <v>#N/A N/A</v>
        <stp/>
        <stp>BDP|4536715546982210346</stp>
        <tr r="H287" s="1"/>
      </tp>
      <tp t="s">
        <v>#N/A N/A</v>
        <stp/>
        <stp>BDP|1931807514049085797</stp>
        <tr r="I22" s="1"/>
      </tp>
      <tp t="s">
        <v>#N/A N/A</v>
        <stp/>
        <stp>BDP|2766070231630727720</stp>
        <tr r="H254" s="1"/>
      </tp>
      <tp t="s">
        <v>#N/A N/A</v>
        <stp/>
        <stp>BDP|6509951098477282605</stp>
        <tr r="I273" s="1"/>
      </tp>
      <tp t="s">
        <v>#N/A N/A</v>
        <stp/>
        <stp>BDP|1378086350745326624</stp>
        <tr r="H230" s="1"/>
      </tp>
      <tp t="s">
        <v>#N/A N/A</v>
        <stp/>
        <stp>BDP|9547804469951549110</stp>
        <tr r="I299" s="1"/>
      </tp>
      <tp t="s">
        <v>#N/A N/A</v>
        <stp/>
        <stp>BDP|2407325380229967770</stp>
        <tr r="I10" s="1"/>
      </tp>
      <tp t="s">
        <v>#N/A N/A</v>
        <stp/>
        <stp>BDP|5736291220296662405</stp>
        <tr r="I188" s="1"/>
      </tp>
      <tp t="s">
        <v>#N/A N/A</v>
        <stp/>
        <stp>BDP|4975998787263834178</stp>
        <tr r="I336" s="1"/>
      </tp>
      <tp t="s">
        <v>#N/A N/A</v>
        <stp/>
        <stp>BDP|6871519436752037560</stp>
        <tr r="H316" s="1"/>
      </tp>
      <tp t="s">
        <v>#N/A N/A</v>
        <stp/>
        <stp>BDP|5743189121298508923</stp>
        <tr r="I371" s="1"/>
      </tp>
      <tp t="s">
        <v>#N/A N/A</v>
        <stp/>
        <stp>BDP|2824342114845586243</stp>
        <tr r="H404" s="1"/>
      </tp>
      <tp t="s">
        <v>#N/A N/A</v>
        <stp/>
        <stp>BDP|9536710538613593909</stp>
        <tr r="H109" s="1"/>
      </tp>
      <tp t="s">
        <v>#N/A N/A</v>
        <stp/>
        <stp>BDP|6731860329282606908</stp>
        <tr r="H234" s="1"/>
      </tp>
      <tp t="s">
        <v>#N/A N/A</v>
        <stp/>
        <stp>BDP|3349070599104045939</stp>
        <tr r="H31" s="1"/>
      </tp>
      <tp t="s">
        <v>#N/A N/A</v>
        <stp/>
        <stp>BDP|4402917326270860853</stp>
        <tr r="H365" s="1"/>
      </tp>
      <tp t="s">
        <v>#N/A N/A</v>
        <stp/>
        <stp>BDP|2140756914923950078</stp>
        <tr r="I12" s="1"/>
      </tp>
      <tp t="s">
        <v>#N/A N/A</v>
        <stp/>
        <stp>BDP|3850727023714494526</stp>
        <tr r="H107" s="1"/>
      </tp>
      <tp t="s">
        <v>#N/A N/A</v>
        <stp/>
        <stp>BDP|6978759775952777310</stp>
        <tr r="I130" s="1"/>
      </tp>
      <tp t="s">
        <v>#N/A N/A</v>
        <stp/>
        <stp>BDP|4756620848110471158</stp>
        <tr r="I281" s="1"/>
      </tp>
      <tp t="s">
        <v>#N/A N/A</v>
        <stp/>
        <stp>BDP|7938672566597780736</stp>
        <tr r="H206" s="1"/>
      </tp>
      <tp t="s">
        <v>#N/A N/A</v>
        <stp/>
        <stp>BDP|5058368946330492598</stp>
        <tr r="I353" s="1"/>
      </tp>
      <tp t="s">
        <v>#N/A N/A</v>
        <stp/>
        <stp>BDP|4889416230262475609</stp>
        <tr r="I211" s="1"/>
      </tp>
      <tp t="s">
        <v>#N/A N/A</v>
        <stp/>
        <stp>BDP|4624457880536077916</stp>
        <tr r="I64" s="1"/>
      </tp>
      <tp t="s">
        <v>#N/A N/A</v>
        <stp/>
        <stp>BDP|5279411136392154763</stp>
        <tr r="I224" s="1"/>
      </tp>
      <tp t="s">
        <v>#N/A N/A</v>
        <stp/>
        <stp>BDP|5547084258062549526</stp>
        <tr r="I364" s="1"/>
      </tp>
      <tp t="s">
        <v>#N/A N/A</v>
        <stp/>
        <stp>BDP|6749272739007009794</stp>
        <tr r="I357" s="1"/>
      </tp>
      <tp t="s">
        <v>#N/A N/A</v>
        <stp/>
        <stp>BDP|9138660291754370549</stp>
        <tr r="I356" s="1"/>
      </tp>
      <tp t="s">
        <v>#N/A N/A</v>
        <stp/>
        <stp>BDP|1430783930490901247</stp>
        <tr r="H122" s="1"/>
      </tp>
      <tp t="s">
        <v>#N/A N/A</v>
        <stp/>
        <stp>BDP|6245900695422536342</stp>
        <tr r="I164" s="1"/>
      </tp>
      <tp t="s">
        <v>#N/A N/A</v>
        <stp/>
        <stp>BDP|2233675245466653101</stp>
        <tr r="I437" s="1"/>
      </tp>
      <tp t="s">
        <v>#N/A N/A</v>
        <stp/>
        <stp>BDP|8340843281676950992</stp>
        <tr r="H5" s="1"/>
      </tp>
      <tp t="s">
        <v>#N/A N/A</v>
        <stp/>
        <stp>BDP|2774048291238588413</stp>
        <tr r="I355" s="1"/>
      </tp>
      <tp t="s">
        <v>#N/A N/A</v>
        <stp/>
        <stp>BDP|1319758971216684069</stp>
        <tr r="H124" s="1"/>
      </tp>
      <tp t="s">
        <v>#N/A N/A</v>
        <stp/>
        <stp>BDP|5286722069024910747</stp>
        <tr r="I246" s="1"/>
      </tp>
      <tp t="s">
        <v>#N/A N/A</v>
        <stp/>
        <stp>BDP|4142356932492589172</stp>
        <tr r="H54" s="1"/>
      </tp>
      <tp t="s">
        <v>#N/A N/A</v>
        <stp/>
        <stp>BDP|8184828565496337711</stp>
        <tr r="H172" s="1"/>
      </tp>
      <tp t="s">
        <v>#N/A N/A</v>
        <stp/>
        <stp>BDP|8313905191706373947</stp>
        <tr r="H201" s="1"/>
      </tp>
      <tp t="s">
        <v>#N/A N/A</v>
        <stp/>
        <stp>BDP|2836276620787236283</stp>
        <tr r="H432" s="1"/>
      </tp>
      <tp t="s">
        <v>#N/A N/A</v>
        <stp/>
        <stp>BDP|3855518854137057473</stp>
        <tr r="I421" s="1"/>
      </tp>
      <tp t="s">
        <v>#N/A N/A</v>
        <stp/>
        <stp>BDP|8943964017672438277</stp>
        <tr r="I363" s="1"/>
      </tp>
      <tp t="s">
        <v>#N/A N/A</v>
        <stp/>
        <stp>BDP|3178795667932766038</stp>
        <tr r="I362" s="1"/>
      </tp>
      <tp t="s">
        <v>#N/A N/A</v>
        <stp/>
        <stp>BDP|8551172295096945662</stp>
        <tr r="H154" s="1"/>
      </tp>
      <tp t="s">
        <v>#N/A N/A</v>
        <stp/>
        <stp>BDP|8432090855595862892</stp>
        <tr r="H171" s="1"/>
      </tp>
      <tp t="s">
        <v>#N/A N/A</v>
        <stp/>
        <stp>BDP|5834201546182495146</stp>
        <tr r="H9" s="1"/>
      </tp>
      <tp t="s">
        <v>#N/A N/A</v>
        <stp/>
        <stp>BDP|6716542814306011490</stp>
        <tr r="H357" s="1"/>
      </tp>
      <tp t="s">
        <v>#N/A N/A</v>
        <stp/>
        <stp>BDP|9598580220437251900</stp>
        <tr r="H18" s="1"/>
      </tp>
      <tp t="s">
        <v>#N/A N/A</v>
        <stp/>
        <stp>BDP|2559755387724177994</stp>
        <tr r="H148" s="1"/>
      </tp>
      <tp t="s">
        <v>#N/A N/A</v>
        <stp/>
        <stp>BDP|3594051939152691206</stp>
        <tr r="I194" s="1"/>
      </tp>
      <tp t="s">
        <v>#N/A N/A</v>
        <stp/>
        <stp>BDP|7517436876385451188</stp>
        <tr r="H376" s="1"/>
      </tp>
      <tp t="s">
        <v>#N/A N/A</v>
        <stp/>
        <stp>BDP|9860117557844731944</stp>
        <tr r="H209" s="1"/>
      </tp>
      <tp t="s">
        <v>#N/A N/A</v>
        <stp/>
        <stp>BDP|8865926777604367231</stp>
        <tr r="H21" s="1"/>
      </tp>
      <tp t="s">
        <v>#N/A N/A</v>
        <stp/>
        <stp>BDP|6082503262115889075</stp>
        <tr r="H194" s="1"/>
      </tp>
      <tp t="s">
        <v>#N/A N/A</v>
        <stp/>
        <stp>BDP|5315056212171007563</stp>
        <tr r="I103" s="1"/>
      </tp>
      <tp t="s">
        <v>#N/A N/A</v>
        <stp/>
        <stp>BDP|6564711156737657379</stp>
        <tr r="H255" s="1"/>
      </tp>
      <tp t="s">
        <v>#N/A N/A</v>
        <stp/>
        <stp>BDP|4722122758199790996</stp>
        <tr r="H284" s="1"/>
      </tp>
      <tp t="s">
        <v>#N/A N/A</v>
        <stp/>
        <stp>BDP|8304387783075914622</stp>
        <tr r="I265" s="1"/>
      </tp>
      <tp t="s">
        <v>#N/A N/A</v>
        <stp/>
        <stp>BDP|5957710219203477066</stp>
        <tr r="H156" s="1"/>
      </tp>
      <tp t="s">
        <v>#N/A N/A</v>
        <stp/>
        <stp>BDP|5357896238126599871</stp>
        <tr r="I47" s="1"/>
      </tp>
      <tp t="s">
        <v>#N/A N/A</v>
        <stp/>
        <stp>BDP|6485374934332332458</stp>
        <tr r="I407" s="1"/>
      </tp>
      <tp t="s">
        <v>#N/A N/A</v>
        <stp/>
        <stp>BDP|1431266163726479338</stp>
        <tr r="I289" s="1"/>
      </tp>
      <tp t="s">
        <v>#N/A N/A</v>
        <stp/>
        <stp>BDP|7071988113869534699</stp>
        <tr r="I215" s="1"/>
      </tp>
      <tp t="s">
        <v>#N/A N/A</v>
        <stp/>
        <stp>BDP|4316371355060677200</stp>
        <tr r="I317" s="1"/>
      </tp>
      <tp t="s">
        <v>#N/A N/A</v>
        <stp/>
        <stp>BDP|5878185812190383551</stp>
        <tr r="H336" s="1"/>
      </tp>
      <tp t="s">
        <v>#N/A N/A</v>
        <stp/>
        <stp>BDP|3653665335430382622</stp>
        <tr r="I119" s="1"/>
      </tp>
      <tp t="s">
        <v>#N/A N/A</v>
        <stp/>
        <stp>BDP|7435189643274209698</stp>
        <tr r="I220" s="1"/>
      </tp>
      <tp t="s">
        <v>#N/A N/A</v>
        <stp/>
        <stp>BDP|2095093433983918271</stp>
        <tr r="H45" s="1"/>
      </tp>
      <tp t="s">
        <v>#N/A N/A</v>
        <stp/>
        <stp>BDP|7273254403591958496</stp>
        <tr r="H402" s="1"/>
      </tp>
      <tp t="s">
        <v>#N/A N/A</v>
        <stp/>
        <stp>BDP|6162152755736733439</stp>
        <tr r="I195" s="1"/>
      </tp>
      <tp t="s">
        <v>#N/A N/A</v>
        <stp/>
        <stp>BDP|3155338075474707355</stp>
        <tr r="H418" s="1"/>
      </tp>
      <tp t="s">
        <v>#N/A N/A</v>
        <stp/>
        <stp>BDP|2450133735661175169</stp>
        <tr r="I108" s="1"/>
      </tp>
      <tp t="s">
        <v>#N/A N/A</v>
        <stp/>
        <stp>BDP|7894069538075257114</stp>
        <tr r="H422" s="1"/>
      </tp>
      <tp t="s">
        <v>#N/A N/A</v>
        <stp/>
        <stp>BDP|4568623400206632447</stp>
        <tr r="H393" s="1"/>
      </tp>
      <tp t="s">
        <v>#N/A N/A</v>
        <stp/>
        <stp>BDP|2645416994327263845</stp>
        <tr r="H333" s="1"/>
      </tp>
      <tp t="s">
        <v>#N/A N/A</v>
        <stp/>
        <stp>BDP|4014947804474177941</stp>
        <tr r="I415" s="1"/>
      </tp>
      <tp t="s">
        <v>#N/A N/A</v>
        <stp/>
        <stp>BDP|4040703768953736754</stp>
        <tr r="I126" s="1"/>
      </tp>
      <tp t="s">
        <v>#N/A N/A</v>
        <stp/>
        <stp>BDP|5336551161220437790</stp>
        <tr r="I230" s="1"/>
      </tp>
      <tp t="s">
        <v>#N/A N/A</v>
        <stp/>
        <stp>BDP|8586901631842773192</stp>
        <tr r="H210" s="1"/>
      </tp>
      <tp t="s">
        <v>#N/A N/A</v>
        <stp/>
        <stp>BDP|4248911224879584782</stp>
        <tr r="H110" s="1"/>
      </tp>
      <tp t="s">
        <v>#N/A N/A</v>
        <stp/>
        <stp>BDP|6369336937336709193</stp>
        <tr r="H311" s="1"/>
      </tp>
      <tp t="s">
        <v>#N/A N/A</v>
        <stp/>
        <stp>BDP|8176197748734969878</stp>
        <tr r="H388" s="1"/>
      </tp>
      <tp t="s">
        <v>#N/A N/A</v>
        <stp/>
        <stp>BDP|6146406669401744418</stp>
        <tr r="H370" s="1"/>
      </tp>
      <tp t="s">
        <v>#N/A N/A</v>
        <stp/>
        <stp>BDP|3817261512070220107</stp>
        <tr r="I394" s="1"/>
      </tp>
      <tp t="s">
        <v>#N/A N/A</v>
        <stp/>
        <stp>BDP|4978757605565030758</stp>
        <tr r="H221" s="1"/>
      </tp>
      <tp t="s">
        <v>#N/A N/A</v>
        <stp/>
        <stp>BDP|1898943443009487470</stp>
        <tr r="H321" s="1"/>
      </tp>
      <tp t="s">
        <v>#N/A N/A</v>
        <stp/>
        <stp>BDP|2284746990508094541</stp>
        <tr r="H296" s="1"/>
      </tp>
      <tp t="s">
        <v>#N/A N/A</v>
        <stp/>
        <stp>BDP|9095858066660514677</stp>
        <tr r="H17" s="1"/>
      </tp>
      <tp t="s">
        <v>#N/A N/A</v>
        <stp/>
        <stp>BDP|3191384695951943947</stp>
        <tr r="H167" s="1"/>
      </tp>
      <tp t="s">
        <v>#N/A N/A</v>
        <stp/>
        <stp>BDP|4781389582737948954</stp>
        <tr r="I49" s="1"/>
      </tp>
      <tp t="s">
        <v>#N/A N/A</v>
        <stp/>
        <stp>BDP|7537576047840323702</stp>
        <tr r="I85" s="1"/>
      </tp>
      <tp t="s">
        <v>#N/A N/A</v>
        <stp/>
        <stp>BDP|9590772180004578334</stp>
        <tr r="H363" s="1"/>
      </tp>
      <tp t="s">
        <v>#N/A N/A</v>
        <stp/>
        <stp>BDP|7704424400301788365</stp>
        <tr r="H214" s="1"/>
      </tp>
      <tp t="s">
        <v>#N/A N/A</v>
        <stp/>
        <stp>BDP|3990661589299713691</stp>
        <tr r="H372" s="1"/>
      </tp>
      <tp t="s">
        <v>#N/A N/A</v>
        <stp/>
        <stp>BDP|3962351494249825286</stp>
        <tr r="H367" s="1"/>
      </tp>
      <tp t="s">
        <v>#N/A N/A</v>
        <stp/>
        <stp>BDP|4944711943114114126</stp>
        <tr r="H134" s="1"/>
      </tp>
      <tp t="s">
        <v>#N/A N/A</v>
        <stp/>
        <stp>BDP|8161512017639992774</stp>
        <tr r="H81" s="1"/>
      </tp>
      <tp t="s">
        <v>#N/A N/A</v>
        <stp/>
        <stp>BDP|5324394864815552747</stp>
        <tr r="I365" s="1"/>
      </tp>
      <tp t="s">
        <v>#N/A N/A</v>
        <stp/>
        <stp>BDP|1788648149384749523</stp>
        <tr r="I134" s="1"/>
      </tp>
      <tp t="s">
        <v>#N/A N/A</v>
        <stp/>
        <stp>BDP|7660085734623487520</stp>
        <tr r="I294" s="1"/>
      </tp>
      <tp t="s">
        <v>#N/A N/A</v>
        <stp/>
        <stp>BDP|5584112151596199594</stp>
        <tr r="I155" s="1"/>
      </tp>
      <tp t="s">
        <v>#N/A N/A</v>
        <stp/>
        <stp>BDP|7230732781333429968</stp>
        <tr r="H396" s="1"/>
      </tp>
      <tp t="s">
        <v>#N/A N/A</v>
        <stp/>
        <stp>BDP|9009074290867525506</stp>
        <tr r="I431" s="1"/>
      </tp>
      <tp t="s">
        <v>#N/A N/A</v>
        <stp/>
        <stp>BDP|4880288106941517530</stp>
        <tr r="H238" s="1"/>
      </tp>
      <tp t="s">
        <v>#N/A N/A</v>
        <stp/>
        <stp>BDP|1676215023047060446</stp>
        <tr r="I91" s="1"/>
      </tp>
      <tp t="s">
        <v>#N/A N/A</v>
        <stp/>
        <stp>BDP|5300127297106040967</stp>
        <tr r="H43" s="1"/>
      </tp>
      <tp t="s">
        <v>#N/A N/A</v>
        <stp/>
        <stp>BDP|5358553956346021101</stp>
        <tr r="I346" s="1"/>
      </tp>
      <tp t="s">
        <v>#N/A N/A</v>
        <stp/>
        <stp>BDP|9476480849223368878</stp>
        <tr r="H307" s="1"/>
      </tp>
      <tp t="s">
        <v>#N/A N/A</v>
        <stp/>
        <stp>BDP|4012707146502556756</stp>
        <tr r="I110" s="1"/>
      </tp>
      <tp t="s">
        <v>#N/A N/A</v>
        <stp/>
        <stp>BDP|9228604513629595530</stp>
        <tr r="H229" s="1"/>
      </tp>
      <tp t="s">
        <v>#N/A N/A</v>
        <stp/>
        <stp>BDP|5681849401516371972</stp>
        <tr r="I392" s="1"/>
      </tp>
      <tp t="s">
        <v>#N/A N/A</v>
        <stp/>
        <stp>BDP|3188364327910185068</stp>
        <tr r="I361" s="1"/>
      </tp>
      <tp t="s">
        <v>#N/A N/A</v>
        <stp/>
        <stp>BDP|7202658200693798073</stp>
        <tr r="I76" s="1"/>
      </tp>
      <tp t="s">
        <v>#N/A N/A</v>
        <stp/>
        <stp>BDP|5872140429766747261</stp>
        <tr r="I308" s="1"/>
      </tp>
      <tp t="s">
        <v>#N/A N/A</v>
        <stp/>
        <stp>BDP|8583984525374515598</stp>
        <tr r="H82" s="1"/>
      </tp>
      <tp t="s">
        <v>#N/A N/A</v>
        <stp/>
        <stp>BDP|8575991259344339234</stp>
        <tr r="H132" s="1"/>
      </tp>
      <tp t="s">
        <v>#N/A N/A</v>
        <stp/>
        <stp>BDP|5116676800872599293</stp>
        <tr r="I322" s="1"/>
      </tp>
      <tp t="s">
        <v>#N/A N/A</v>
        <stp/>
        <stp>BDP|2850590619546790342</stp>
        <tr r="H232" s="1"/>
      </tp>
      <tp t="s">
        <v>#N/A N/A</v>
        <stp/>
        <stp>BDP|3348832762556892820</stp>
        <tr r="I334" s="1"/>
      </tp>
      <tp t="s">
        <v>#N/A N/A</v>
        <stp/>
        <stp>BDP|7211131659685560557</stp>
        <tr r="I373" s="1"/>
      </tp>
      <tp t="s">
        <v>#N/A N/A</v>
        <stp/>
        <stp>BDP|3847890290911866002</stp>
        <tr r="H142" s="1"/>
      </tp>
      <tp t="s">
        <v>#N/A N/A</v>
        <stp/>
        <stp>BDP|9757512414176310889</stp>
        <tr r="H183" s="1"/>
      </tp>
      <tp t="s">
        <v>#N/A N/A</v>
        <stp/>
        <stp>BDP|6018155530513406481</stp>
        <tr r="H293" s="1"/>
      </tp>
      <tp t="s">
        <v>#N/A N/A</v>
        <stp/>
        <stp>BDP|5337202659229676850</stp>
        <tr r="H401" s="1"/>
      </tp>
      <tp t="s">
        <v>#N/A N/A</v>
        <stp/>
        <stp>BDP|6928690346944652398</stp>
        <tr r="I214" s="1"/>
      </tp>
      <tp t="s">
        <v>#N/A N/A</v>
        <stp/>
        <stp>BDP|6884470707081203042</stp>
        <tr r="H23" s="1"/>
      </tp>
      <tp t="s">
        <v>#N/A N/A</v>
        <stp/>
        <stp>BDP|2795740265557027780</stp>
        <tr r="I19" s="1"/>
      </tp>
      <tp t="s">
        <v>#N/A N/A</v>
        <stp/>
        <stp>BDP|7983383064988969937</stp>
        <tr r="H425" s="1"/>
      </tp>
      <tp t="s">
        <v>#N/A N/A</v>
        <stp/>
        <stp>BDP|6005589070316030150</stp>
        <tr r="I239" s="1"/>
      </tp>
      <tp t="s">
        <v>#N/A N/A</v>
        <stp/>
        <stp>BDP|6810259077086505621</stp>
        <tr r="H161" s="1"/>
      </tp>
      <tp t="s">
        <v>#N/A N/A</v>
        <stp/>
        <stp>BDP|4992278915393081765</stp>
        <tr r="I269" s="1"/>
      </tp>
      <tp t="s">
        <v>#N/A N/A</v>
        <stp/>
        <stp>BDP|1989345353750966450</stp>
        <tr r="I410" s="1"/>
      </tp>
      <tp t="s">
        <v>#N/A N/A</v>
        <stp/>
        <stp>BDP|5138954938184850865</stp>
        <tr r="I324" s="1"/>
      </tp>
      <tp t="s">
        <v>#N/A N/A</v>
        <stp/>
        <stp>BDP|6626018952181311153</stp>
        <tr r="I332" s="1"/>
      </tp>
      <tp t="s">
        <v>#N/A N/A</v>
        <stp/>
        <stp>BDP|3284760595119090729</stp>
        <tr r="I345" s="1"/>
      </tp>
      <tp t="s">
        <v>#N/A N/A</v>
        <stp/>
        <stp>BDP|3998594415093138770</stp>
        <tr r="H70" s="1"/>
      </tp>
      <tp t="s">
        <v>#N/A N/A</v>
        <stp/>
        <stp>BDP|3784436774112303130</stp>
        <tr r="H332" s="1"/>
      </tp>
      <tp t="s">
        <v>#N/A N/A</v>
        <stp/>
        <stp>BDP|3398671201565342366</stp>
        <tr r="I384" s="1"/>
      </tp>
      <tp t="s">
        <v>#N/A N/A</v>
        <stp/>
        <stp>BDP|5403615012846519734</stp>
        <tr r="H180" s="1"/>
      </tp>
      <tp t="s">
        <v>#N/A N/A</v>
        <stp/>
        <stp>BDP|3581673604562356425</stp>
        <tr r="H61" s="1"/>
      </tp>
      <tp t="s">
        <v>#N/A N/A</v>
        <stp/>
        <stp>BDP|6972897329287858867</stp>
        <tr r="I432" s="1"/>
      </tp>
      <tp t="s">
        <v>#N/A N/A</v>
        <stp/>
        <stp>BDP|8710985466955782192</stp>
        <tr r="I398" s="1"/>
      </tp>
      <tp t="s">
        <v>#N/A N/A</v>
        <stp/>
        <stp>BDP|4370179541420684266</stp>
        <tr r="H136" s="1"/>
      </tp>
      <tp t="s">
        <v>#N/A N/A</v>
        <stp/>
        <stp>BDP|26850721248640955</stp>
        <tr r="I60" s="1"/>
      </tp>
      <tp t="s">
        <v>#N/A N/A</v>
        <stp/>
        <stp>BDP|36606705023563613</stp>
        <tr r="I35" s="1"/>
      </tp>
      <tp t="s">
        <v>#N/A N/A</v>
        <stp/>
        <stp>BDP|36562475142463365</stp>
        <tr r="H128" s="1"/>
      </tp>
      <tp t="s">
        <v>#N/A N/A</v>
        <stp/>
        <stp>BDP|20675758867231734</stp>
        <tr r="H118" s="1"/>
      </tp>
      <tp t="s">
        <v>#N/A N/A</v>
        <stp/>
        <stp>BDP|588000368821735258</stp>
        <tr r="I163" s="1"/>
      </tp>
      <tp t="s">
        <v>#N/A N/A</v>
        <stp/>
        <stp>BDP|695211962203077203</stp>
        <tr r="H144" s="1"/>
      </tp>
      <tp t="s">
        <v>#N/A N/A</v>
        <stp/>
        <stp>BDP|960431418558546874</stp>
        <tr r="I18" s="1"/>
      </tp>
      <tp t="s">
        <v>#N/A N/A</v>
        <stp/>
        <stp>BDP|863416839752806091</stp>
        <tr r="H310" s="1"/>
      </tp>
      <tp t="s">
        <v>#N/A N/A</v>
        <stp/>
        <stp>BDP|872107225113014439</stp>
        <tr r="I279" s="1"/>
      </tp>
      <tp t="s">
        <v>#N/A N/A</v>
        <stp/>
        <stp>BDP|231961976352172860</stp>
        <tr r="I137" s="1"/>
      </tp>
      <tp t="s">
        <v>#N/A N/A</v>
        <stp/>
        <stp>BDP|343061152838565955</stp>
        <tr r="H155" s="1"/>
      </tp>
      <tp t="s">
        <v>#N/A N/A</v>
        <stp/>
        <stp>BDP|522316010163148545</stp>
        <tr r="H322" s="1"/>
      </tp>
      <tp t="s">
        <v>#N/A N/A</v>
        <stp/>
        <stp>BDP|744478728486024755</stp>
        <tr r="I369" s="1"/>
      </tp>
      <tp t="s">
        <v>#N/A N/A</v>
        <stp/>
        <stp>BDP|885586538095201429</stp>
        <tr r="I412" s="1"/>
      </tp>
      <tp t="s">
        <v>#N/A N/A</v>
        <stp/>
        <stp>BDP|748664755696921242</stp>
        <tr r="H397" s="1"/>
      </tp>
      <tp t="s">
        <v>#N/A N/A</v>
        <stp/>
        <stp>BDP|644728241684650013</stp>
        <tr r="H344" s="1"/>
      </tp>
      <tp t="s">
        <v>#N/A N/A</v>
        <stp/>
        <stp>BDP|774999694521110680</stp>
        <tr r="H211" s="1"/>
      </tp>
      <tp t="s">
        <v>#N/A N/A</v>
        <stp/>
        <stp>BDP|894525036775030500</stp>
        <tr r="I40" s="1"/>
      </tp>
      <tp t="s">
        <v>#N/A N/A</v>
        <stp/>
        <stp>BDP|560095507616194727</stp>
        <tr r="H371" s="1"/>
      </tp>
      <tp t="s">
        <v>#N/A N/A</v>
        <stp/>
        <stp>BDP|624459118952614651</stp>
        <tr r="I237" s="1"/>
      </tp>
      <tp t="s">
        <v>#N/A N/A</v>
        <stp/>
        <stp>BDP|690396706955063677</stp>
        <tr r="I306" s="1"/>
      </tp>
      <tp t="s">
        <v>#N/A N/A</v>
        <stp/>
        <stp>BDP|777947388573327260</stp>
        <tr r="I331" s="1"/>
      </tp>
      <tp t="s">
        <v>#N/A N/A</v>
        <stp/>
        <stp>BDP|984450101083749759</stp>
        <tr r="H184" s="1"/>
      </tp>
      <tp t="s">
        <v>#N/A N/A</v>
        <stp/>
        <stp>BDP|325354229783044259</stp>
        <tr r="I388" s="1"/>
      </tp>
      <tp t="s">
        <v>#N/A N/A</v>
        <stp/>
        <stp>BDP|731501370976360433</stp>
        <tr r="H47" s="1"/>
      </tp>
      <tp t="s">
        <v>#N/A N/A</v>
        <stp/>
        <stp>BDP|632075022036280468</stp>
        <tr r="H79" s="1"/>
      </tp>
      <tp t="s">
        <v>#N/A N/A</v>
        <stp/>
        <stp>BDP|358344359471806751</stp>
        <tr r="H414" s="1"/>
      </tp>
      <tp t="s">
        <v>#N/A N/A</v>
        <stp/>
        <stp>BDP|842924310278538327</stp>
        <tr r="I34" s="1"/>
      </tp>
      <tp t="s">
        <v>#N/A N/A</v>
        <stp/>
        <stp>BDP|464599050566543505</stp>
        <tr r="I406" s="1"/>
      </tp>
      <tp t="s">
        <v>#N/A N/A</v>
        <stp/>
        <stp>BDP|954555519915884265</stp>
        <tr r="I170" s="1"/>
      </tp>
      <tp t="s">
        <v>#N/A N/A</v>
        <stp/>
        <stp>BDP|173065617040773395</stp>
        <tr r="I6" s="1"/>
      </tp>
      <tp t="s">
        <v>#N/A N/A</v>
        <stp/>
        <stp>BDP|253221248840812497</stp>
        <tr r="I391" s="1"/>
      </tp>
      <tp t="s">
        <v>#N/A N/A</v>
        <stp/>
        <stp>BDP|621961195836881488</stp>
        <tr r="H270" s="1"/>
      </tp>
      <tp t="s">
        <v>#N/A N/A</v>
        <stp/>
        <stp>BDP|197308526811739262</stp>
        <tr r="H261" s="1"/>
      </tp>
      <tp t="s">
        <v>#N/A N/A</v>
        <stp/>
        <stp>BDP|133567063153265257</stp>
        <tr r="I258" s="1"/>
      </tp>
      <tp t="s">
        <v>#N/A N/A</v>
        <stp/>
        <stp>BDP|567770814538741398</stp>
        <tr r="I435" s="1"/>
      </tp>
      <tp t="s">
        <v>#N/A N/A</v>
        <stp/>
        <stp>BDP|520333593536408156</stp>
        <tr r="H153" s="1"/>
      </tp>
      <tp t="s">
        <v>#N/A N/A</v>
        <stp/>
        <stp>BDP|463697592933078199</stp>
        <tr r="I429" s="1"/>
      </tp>
      <tp t="s">
        <v>#N/A N/A</v>
        <stp/>
        <stp>BDP|118098371063534802</stp>
        <tr r="H430" s="1"/>
      </tp>
      <tp t="s">
        <v>#N/A N/A</v>
        <stp/>
        <stp>BDP|277490372847154845</stp>
        <tr r="I290" s="1"/>
      </tp>
      <tp t="s">
        <v>#N/A N/A</v>
        <stp/>
        <stp>BDP|872302381717599049</stp>
        <tr r="H355" s="1"/>
      </tp>
      <tp t="s">
        <v>#N/A N/A</v>
        <stp/>
        <stp>BDP|830694384606232410</stp>
        <tr r="I39" s="1"/>
      </tp>
      <tp t="s">
        <v>#N/A N/A</v>
        <stp/>
        <stp>BDP|671082588817977385</stp>
        <tr r="H359" s="1"/>
      </tp>
      <tp t="s">
        <v>#N/A N/A</v>
        <stp/>
        <stp>BDP|353104770058748235</stp>
        <tr r="H375" s="1"/>
      </tp>
      <tp t="s">
        <v>#N/A N/A</v>
        <stp/>
        <stp>BDP|426366668498842137</stp>
        <tr r="H62" s="1"/>
      </tp>
      <tp t="s">
        <v>#N/A N/A</v>
        <stp/>
        <stp>BDP|928029163079522137</stp>
        <tr r="I202" s="1"/>
      </tp>
      <tp t="s">
        <v>#N/A N/A</v>
        <stp/>
        <stp>BDP|508868252250749335</stp>
        <tr r="I248" s="1"/>
      </tp>
      <tp t="s">
        <v>#N/A N/A</v>
        <stp/>
        <stp>BDP|303885688786458815</stp>
        <tr r="H95" s="1"/>
      </tp>
      <tp t="s">
        <v>#N/A N/A</v>
        <stp/>
        <stp>BDP|780740090787119700</stp>
        <tr r="I321" s="1"/>
      </tp>
      <tp t="s">
        <v>#N/A N/A</v>
        <stp/>
        <stp>BDP|205907235582016641</stp>
        <tr r="I133" s="1"/>
      </tp>
      <tp t="s">
        <v>#N/A N/A</v>
        <stp/>
        <stp>BDP|141525193626980345</stp>
        <tr r="H88" s="1"/>
      </tp>
      <tp t="s">
        <v>#N/A N/A</v>
        <stp/>
        <stp>BDP|299376543277081848</stp>
        <tr r="I427" s="1"/>
      </tp>
      <tp t="s">
        <v>#N/A N/A</v>
        <stp/>
        <stp>BDP|982715549111819952</stp>
        <tr r="H437" s="1"/>
      </tp>
      <tp t="s">
        <v>#N/A N/A</v>
        <stp/>
        <stp>BDP|157925163507499397</stp>
        <tr r="I201" s="1"/>
      </tp>
      <tp t="s">
        <v>#N/A N/A</v>
        <stp/>
        <stp>BDP|698907078706399325</stp>
        <tr r="I120" s="1"/>
      </tp>
      <tp t="s">
        <v>#N/A N/A</v>
        <stp/>
        <stp>BDP|125536420554227881</stp>
        <tr r="H102" s="1"/>
      </tp>
      <tp t="s">
        <v>#N/A N/A</v>
        <stp/>
        <stp>BDP|220895433836289622</stp>
        <tr r="I98" s="1"/>
      </tp>
      <tp t="s">
        <v>#N/A N/A</v>
        <stp/>
        <stp>BDP|712763705425056908</stp>
        <tr r="I166" s="1"/>
      </tp>
      <tp t="s">
        <v>#N/A N/A</v>
        <stp/>
        <stp>BDP|714993899272276936</stp>
        <tr r="H97" s="1"/>
      </tp>
      <tp t="s">
        <v>#N/A N/A</v>
        <stp/>
        <stp>BDP|299676027497296945</stp>
        <tr r="H68" s="1"/>
      </tp>
      <tp t="s">
        <v>#N/A N/A</v>
        <stp/>
        <stp>BDP|382748294967262306</stp>
        <tr r="H272" s="1"/>
      </tp>
      <tp t="s">
        <v>#N/A N/A</v>
        <stp/>
        <stp>BDP|306868313635305</stp>
        <tr r="I309" s="1"/>
      </tp>
    </main>
  </volType>
</volTypes>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volatileDependencies" Target="volatileDependencies.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N441"/>
  <sheetViews>
    <sheetView tabSelected="1" workbookViewId="0">
      <selection activeCell="B13" sqref="B13"/>
    </sheetView>
  </sheetViews>
  <sheetFormatPr defaultColWidth="9.109375" defaultRowHeight="12" x14ac:dyDescent="0.25"/>
  <cols>
    <col min="1" max="1" width="21.21875" style="2" customWidth="1"/>
    <col min="2" max="2" width="37" style="2" customWidth="1"/>
    <col min="3" max="3" width="15.33203125" style="2" customWidth="1"/>
    <col min="4" max="4" width="10" style="3" customWidth="1"/>
    <col min="5" max="5" width="15.21875" style="2" customWidth="1"/>
    <col min="6" max="6" width="37" style="2" customWidth="1"/>
    <col min="7" max="7" width="17.109375" style="3" customWidth="1"/>
    <col min="8" max="8" width="26.6640625" style="3" customWidth="1"/>
    <col min="9" max="9" width="30.33203125" style="3" customWidth="1"/>
    <col min="10" max="10" width="10.6640625" style="3" customWidth="1"/>
    <col min="11" max="11" width="15.33203125" style="3" customWidth="1"/>
    <col min="12" max="12" width="23" style="2" customWidth="1"/>
    <col min="13" max="13" width="51" style="2" customWidth="1"/>
    <col min="14" max="14" width="42.33203125" style="2" customWidth="1"/>
    <col min="15" max="15" width="9.109375" style="1" customWidth="1"/>
    <col min="16" max="16384" width="9.109375" style="1"/>
  </cols>
  <sheetData>
    <row r="1" spans="1:14" s="4" customFormat="1" ht="13.2" x14ac:dyDescent="0.25">
      <c r="A1" s="5" t="s">
        <v>0</v>
      </c>
      <c r="B1" s="5" t="s">
        <v>1</v>
      </c>
      <c r="C1" s="5" t="s">
        <v>2</v>
      </c>
      <c r="D1" s="6"/>
      <c r="E1" s="7"/>
      <c r="F1" s="7"/>
      <c r="G1" s="6"/>
      <c r="H1" s="6"/>
      <c r="I1" s="6"/>
      <c r="J1" s="6"/>
      <c r="K1" s="6"/>
      <c r="L1" s="7"/>
      <c r="M1" s="7"/>
      <c r="N1" s="7"/>
    </row>
    <row r="2" spans="1:14" s="4" customFormat="1" ht="13.2" x14ac:dyDescent="0.25">
      <c r="A2" s="5" t="s">
        <v>3</v>
      </c>
      <c r="B2" s="7"/>
      <c r="C2" s="7"/>
      <c r="D2" s="6"/>
      <c r="E2" s="7"/>
      <c r="F2" s="7"/>
      <c r="G2" s="6"/>
      <c r="H2" s="6"/>
      <c r="I2" s="6"/>
      <c r="J2" s="6"/>
      <c r="K2" s="6"/>
      <c r="L2" s="7"/>
      <c r="M2" s="7"/>
      <c r="N2" s="7"/>
    </row>
    <row r="3" spans="1:14" ht="13.2" x14ac:dyDescent="0.25">
      <c r="A3" s="8" t="s">
        <v>4</v>
      </c>
      <c r="B3" s="8" t="s">
        <v>5</v>
      </c>
      <c r="C3" s="8" t="s">
        <v>6</v>
      </c>
      <c r="D3" s="8" t="s">
        <v>7</v>
      </c>
      <c r="E3" s="8" t="s">
        <v>4</v>
      </c>
      <c r="F3" s="8" t="s">
        <v>5</v>
      </c>
      <c r="G3" s="8" t="s">
        <v>8</v>
      </c>
      <c r="H3" s="8" t="s">
        <v>9</v>
      </c>
      <c r="I3" s="8" t="s">
        <v>10</v>
      </c>
      <c r="J3" s="8" t="s">
        <v>11</v>
      </c>
      <c r="K3" s="8" t="s">
        <v>12</v>
      </c>
      <c r="L3" s="8" t="s">
        <v>13</v>
      </c>
      <c r="M3" s="8" t="s">
        <v>14</v>
      </c>
      <c r="N3" s="8" t="s">
        <v>15</v>
      </c>
    </row>
    <row r="4" spans="1:14" s="4" customFormat="1" ht="13.2" x14ac:dyDescent="0.25">
      <c r="A4" s="7" t="s">
        <v>16</v>
      </c>
      <c r="B4" s="7"/>
      <c r="C4" s="7"/>
      <c r="D4" s="6"/>
      <c r="E4" s="7"/>
      <c r="F4" s="7"/>
      <c r="G4" s="6"/>
      <c r="H4" s="6"/>
      <c r="I4" s="6"/>
      <c r="J4" s="6"/>
      <c r="K4" s="6"/>
      <c r="L4" s="7"/>
      <c r="M4" s="7"/>
      <c r="N4" s="7"/>
    </row>
    <row r="5" spans="1:14" s="4" customFormat="1" ht="13.2" x14ac:dyDescent="0.25">
      <c r="A5" s="7" t="s">
        <v>17</v>
      </c>
      <c r="B5" s="7" t="s">
        <v>18</v>
      </c>
      <c r="C5" s="7" t="s">
        <v>19</v>
      </c>
      <c r="D5" s="6">
        <v>4.5199999809265137</v>
      </c>
      <c r="E5" s="7" t="s">
        <v>20</v>
      </c>
      <c r="F5" s="7" t="s">
        <v>18</v>
      </c>
      <c r="G5" s="6">
        <v>495941349.66722769</v>
      </c>
      <c r="H5" s="6">
        <f>_xll.BDP($A5,"IPO_OFFER_PX_TO_LAST_CLOSE_%_CHG",$A$1,$A$2)</f>
        <v>-93.141120000000001</v>
      </c>
      <c r="I5" s="6">
        <f>_xll.BDP($A5,"IPO_OFFER_PX_TO_1ST_OPEN_%_CHG",$A$1,$A$2)</f>
        <v>0</v>
      </c>
      <c r="J5" s="6">
        <v>65.900000000000006</v>
      </c>
      <c r="K5" s="6">
        <v>7540000</v>
      </c>
      <c r="L5" s="7" t="s">
        <v>21</v>
      </c>
      <c r="M5" s="7" t="s">
        <v>22</v>
      </c>
      <c r="N5" s="7" t="s">
        <v>22</v>
      </c>
    </row>
    <row r="6" spans="1:14" s="4" customFormat="1" ht="13.2" x14ac:dyDescent="0.25">
      <c r="A6" s="7" t="s">
        <v>23</v>
      </c>
      <c r="B6" s="7" t="s">
        <v>24</v>
      </c>
      <c r="C6" s="7" t="s">
        <v>25</v>
      </c>
      <c r="D6" s="6">
        <v>8.8000000000000007</v>
      </c>
      <c r="E6" s="7" t="s">
        <v>26</v>
      </c>
      <c r="F6" s="7" t="s">
        <v>24</v>
      </c>
      <c r="G6" s="6">
        <v>614157420.80000007</v>
      </c>
      <c r="H6" s="6">
        <f>_xll.BDP($A6,"IPO_OFFER_PX_TO_LAST_CLOSE_%_CHG",$A$1,$A$2)</f>
        <v>76</v>
      </c>
      <c r="I6" s="6">
        <f>_xll.BDP($A6,"IPO_OFFER_PX_TO_1ST_OPEN_%_CHG",$A$1,$A$2)</f>
        <v>0</v>
      </c>
      <c r="J6" s="6">
        <v>5</v>
      </c>
      <c r="K6" s="6">
        <v>4200000</v>
      </c>
      <c r="L6" s="7" t="s">
        <v>21</v>
      </c>
      <c r="M6" s="7" t="s">
        <v>22</v>
      </c>
      <c r="N6" s="7" t="s">
        <v>22</v>
      </c>
    </row>
    <row r="7" spans="1:14" s="4" customFormat="1" ht="13.2" x14ac:dyDescent="0.25">
      <c r="A7" s="7" t="s">
        <v>27</v>
      </c>
      <c r="B7" s="7" t="s">
        <v>28</v>
      </c>
      <c r="C7" s="7" t="s">
        <v>25</v>
      </c>
      <c r="D7" s="6">
        <v>18.57</v>
      </c>
      <c r="E7" s="7" t="s">
        <v>29</v>
      </c>
      <c r="F7" s="7" t="s">
        <v>28</v>
      </c>
      <c r="G7" s="6"/>
      <c r="H7" s="6">
        <f>_xll.BDP($A7,"IPO_OFFER_PX_TO_LAST_CLOSE_%_CHG",$A$1,$A$2)</f>
        <v>-25.72</v>
      </c>
      <c r="I7" s="6">
        <f>_xll.BDP($A7,"IPO_OFFER_PX_TO_1ST_OPEN_%_CHG",$A$1,$A$2)</f>
        <v>0</v>
      </c>
      <c r="J7" s="6">
        <v>25</v>
      </c>
      <c r="K7" s="6">
        <v>22000000</v>
      </c>
      <c r="L7" s="7"/>
      <c r="M7" s="7"/>
      <c r="N7" s="7"/>
    </row>
    <row r="8" spans="1:14" s="4" customFormat="1" ht="13.2" x14ac:dyDescent="0.25">
      <c r="A8" s="7" t="s">
        <v>30</v>
      </c>
      <c r="B8" s="7" t="s">
        <v>31</v>
      </c>
      <c r="C8" s="7" t="s">
        <v>25</v>
      </c>
      <c r="D8" s="6">
        <v>645</v>
      </c>
      <c r="E8" s="7" t="s">
        <v>32</v>
      </c>
      <c r="F8" s="7" t="s">
        <v>31</v>
      </c>
      <c r="G8" s="6">
        <v>202781981.65000001</v>
      </c>
      <c r="H8" s="6">
        <f>_xll.BDP($A8,"IPO_OFFER_PX_TO_LAST_CLOSE_%_CHG",$A$1,$A$2)</f>
        <v>-4.444445</v>
      </c>
      <c r="I8" s="6">
        <f>_xll.BDP($A8,"IPO_OFFER_PX_TO_1ST_OPEN_%_CHG",$A$1,$A$2)</f>
        <v>3.3333330000000001</v>
      </c>
      <c r="J8" s="6">
        <v>135</v>
      </c>
      <c r="K8" s="6">
        <v>22703800</v>
      </c>
      <c r="L8" s="7" t="s">
        <v>33</v>
      </c>
      <c r="M8" s="7" t="s">
        <v>34</v>
      </c>
      <c r="N8" s="7" t="s">
        <v>35</v>
      </c>
    </row>
    <row r="9" spans="1:14" s="4" customFormat="1" ht="13.2" x14ac:dyDescent="0.25">
      <c r="A9" s="7" t="s">
        <v>36</v>
      </c>
      <c r="B9" s="7" t="s">
        <v>37</v>
      </c>
      <c r="C9" s="7" t="s">
        <v>38</v>
      </c>
      <c r="D9" s="6">
        <v>38.549999999999997</v>
      </c>
      <c r="E9" s="7" t="s">
        <v>39</v>
      </c>
      <c r="F9" s="7" t="s">
        <v>37</v>
      </c>
      <c r="G9" s="6">
        <v>22463473661.099998</v>
      </c>
      <c r="H9" s="6">
        <f>_xll.BDP($A9,"IPO_OFFER_PX_TO_LAST_CLOSE_%_CHG",$A$1,$A$2)</f>
        <v>67.608699999999999</v>
      </c>
      <c r="I9" s="6">
        <f>_xll.BDP($A9,"IPO_OFFER_PX_TO_1ST_OPEN_%_CHG",$A$1,$A$2)</f>
        <v>8.2608700000000006</v>
      </c>
      <c r="J9" s="6">
        <v>23</v>
      </c>
      <c r="K9" s="6">
        <v>35000000</v>
      </c>
      <c r="L9" s="7" t="s">
        <v>40</v>
      </c>
      <c r="M9" s="7" t="s">
        <v>41</v>
      </c>
      <c r="N9" s="7" t="s">
        <v>42</v>
      </c>
    </row>
    <row r="10" spans="1:14" s="4" customFormat="1" ht="13.2" x14ac:dyDescent="0.25">
      <c r="A10" s="7" t="s">
        <v>43</v>
      </c>
      <c r="B10" s="7" t="s">
        <v>44</v>
      </c>
      <c r="C10" s="7" t="s">
        <v>45</v>
      </c>
      <c r="D10" s="6">
        <v>9.2399999999999996E-2</v>
      </c>
      <c r="E10" s="7" t="s">
        <v>46</v>
      </c>
      <c r="F10" s="7" t="s">
        <v>44</v>
      </c>
      <c r="G10" s="6">
        <v>5431825.4759999998</v>
      </c>
      <c r="H10" s="6">
        <f>_xll.BDP($A10,"IPO_OFFER_PX_TO_LAST_CLOSE_%_CHG",$A$1,$A$2)</f>
        <v>-99.956479999999999</v>
      </c>
      <c r="I10" s="6">
        <f>_xll.BDP($A10,"IPO_OFFER_PX_TO_1ST_OPEN_%_CHG",$A$1,$A$2)</f>
        <v>-6.7</v>
      </c>
      <c r="J10" s="6">
        <v>10</v>
      </c>
      <c r="K10" s="6">
        <v>2200000</v>
      </c>
      <c r="L10" s="7" t="s">
        <v>47</v>
      </c>
      <c r="M10" s="7" t="s">
        <v>48</v>
      </c>
      <c r="N10" s="7" t="s">
        <v>49</v>
      </c>
    </row>
    <row r="11" spans="1:14" s="4" customFormat="1" ht="13.2" x14ac:dyDescent="0.25">
      <c r="A11" s="7" t="s">
        <v>50</v>
      </c>
      <c r="B11" s="7" t="s">
        <v>51</v>
      </c>
      <c r="C11" s="7" t="s">
        <v>45</v>
      </c>
      <c r="D11" s="6">
        <v>1.75</v>
      </c>
      <c r="E11" s="7" t="s">
        <v>52</v>
      </c>
      <c r="F11" s="7" t="s">
        <v>51</v>
      </c>
      <c r="G11" s="6">
        <v>170362311</v>
      </c>
      <c r="H11" s="6">
        <f>_xll.BDP($A11,"IPO_OFFER_PX_TO_LAST_CLOSE_%_CHG",$A$1,$A$2)</f>
        <v>-99.65</v>
      </c>
      <c r="I11" s="6">
        <f>_xll.BDP($A11,"IPO_OFFER_PX_TO_1ST_OPEN_%_CHG",$A$1,$A$2)</f>
        <v>440</v>
      </c>
      <c r="J11" s="6">
        <v>5</v>
      </c>
      <c r="K11" s="6">
        <v>3000000</v>
      </c>
      <c r="L11" s="7" t="s">
        <v>33</v>
      </c>
      <c r="M11" s="7" t="s">
        <v>53</v>
      </c>
      <c r="N11" s="7" t="s">
        <v>53</v>
      </c>
    </row>
    <row r="12" spans="1:14" s="4" customFormat="1" ht="13.2" x14ac:dyDescent="0.25">
      <c r="A12" s="7" t="s">
        <v>54</v>
      </c>
      <c r="B12" s="7" t="s">
        <v>55</v>
      </c>
      <c r="C12" s="7" t="s">
        <v>56</v>
      </c>
      <c r="D12" s="6"/>
      <c r="E12" s="7" t="s">
        <v>57</v>
      </c>
      <c r="F12" s="7" t="s">
        <v>55</v>
      </c>
      <c r="G12" s="6"/>
      <c r="H12" s="6" t="str">
        <f>_xll.BDP($A12,"IPO_OFFER_PX_TO_LAST_CLOSE_%_CHG",$A$1,$A$2)</f>
        <v>#N/A N/A</v>
      </c>
      <c r="I12" s="6">
        <f>_xll.BDP($A12,"IPO_OFFER_PX_TO_1ST_OPEN_%_CHG",$A$1,$A$2)</f>
        <v>1.45</v>
      </c>
      <c r="J12" s="6">
        <v>80</v>
      </c>
      <c r="K12" s="6">
        <v>15300000</v>
      </c>
      <c r="L12" s="7"/>
      <c r="M12" s="7"/>
      <c r="N12" s="7"/>
    </row>
    <row r="13" spans="1:14" s="4" customFormat="1" ht="13.2" x14ac:dyDescent="0.25">
      <c r="A13" s="7" t="s">
        <v>58</v>
      </c>
      <c r="B13" s="7" t="s">
        <v>59</v>
      </c>
      <c r="C13" s="7" t="s">
        <v>60</v>
      </c>
      <c r="D13" s="6">
        <v>4.5599999999999996</v>
      </c>
      <c r="E13" s="7" t="s">
        <v>61</v>
      </c>
      <c r="F13" s="7" t="s">
        <v>59</v>
      </c>
      <c r="G13" s="6">
        <v>61418804.159999996</v>
      </c>
      <c r="H13" s="6">
        <f>_xll.BDP($A13,"IPO_OFFER_PX_TO_LAST_CLOSE_%_CHG",$A$1,$A$2)</f>
        <v>-99.683329999999998</v>
      </c>
      <c r="I13" s="6">
        <f>_xll.BDP($A13,"IPO_OFFER_PX_TO_1ST_OPEN_%_CHG",$A$1,$A$2)</f>
        <v>-16.66667</v>
      </c>
      <c r="J13" s="6">
        <v>6</v>
      </c>
      <c r="K13" s="6">
        <v>4166700</v>
      </c>
      <c r="L13" s="7" t="s">
        <v>21</v>
      </c>
      <c r="M13" s="7" t="s">
        <v>62</v>
      </c>
      <c r="N13" s="7" t="s">
        <v>62</v>
      </c>
    </row>
    <row r="14" spans="1:14" s="4" customFormat="1" ht="13.2" x14ac:dyDescent="0.25">
      <c r="A14" s="7" t="s">
        <v>63</v>
      </c>
      <c r="B14" s="7" t="s">
        <v>64</v>
      </c>
      <c r="C14" s="7" t="s">
        <v>60</v>
      </c>
      <c r="D14" s="6">
        <v>10.42</v>
      </c>
      <c r="E14" s="7" t="s">
        <v>65</v>
      </c>
      <c r="F14" s="7" t="s">
        <v>64</v>
      </c>
      <c r="G14" s="6">
        <v>220979315.75999999</v>
      </c>
      <c r="H14" s="6">
        <f>_xll.BDP($A14,"IPO_OFFER_PX_TO_LAST_CLOSE_%_CHG",$A$1,$A$2)</f>
        <v>-34.875</v>
      </c>
      <c r="I14" s="6">
        <f>_xll.BDP($A14,"IPO_OFFER_PX_TO_1ST_OPEN_%_CHG",$A$1,$A$2)</f>
        <v>2.5</v>
      </c>
      <c r="J14" s="6">
        <v>16</v>
      </c>
      <c r="K14" s="6">
        <v>6250000</v>
      </c>
      <c r="L14" s="7" t="s">
        <v>66</v>
      </c>
      <c r="M14" s="7" t="s">
        <v>67</v>
      </c>
      <c r="N14" s="7" t="s">
        <v>68</v>
      </c>
    </row>
    <row r="15" spans="1:14" s="4" customFormat="1" ht="13.2" x14ac:dyDescent="0.25">
      <c r="A15" s="7" t="s">
        <v>69</v>
      </c>
      <c r="B15" s="7" t="s">
        <v>70</v>
      </c>
      <c r="C15" s="7" t="s">
        <v>71</v>
      </c>
      <c r="D15" s="6">
        <v>0.9</v>
      </c>
      <c r="E15" s="7" t="s">
        <v>72</v>
      </c>
      <c r="F15" s="7" t="s">
        <v>70</v>
      </c>
      <c r="G15" s="6">
        <v>89100000.000000015</v>
      </c>
      <c r="H15" s="6" t="str">
        <f>_xll.BDP($A15,"IPO_OFFER_PX_TO_LAST_CLOSE_%_CHG",$A$1,$A$2)</f>
        <v>#N/A N/A</v>
      </c>
      <c r="I15" s="6" t="str">
        <f>_xll.BDP($A15,"IPO_OFFER_PX_TO_1ST_OPEN_%_CHG",$A$1,$A$2)</f>
        <v>#N/A N/A</v>
      </c>
      <c r="J15" s="6"/>
      <c r="K15" s="6">
        <v>1600000</v>
      </c>
      <c r="L15" s="7"/>
      <c r="M15" s="7"/>
      <c r="N15" s="7"/>
    </row>
    <row r="16" spans="1:14" s="4" customFormat="1" ht="13.2" x14ac:dyDescent="0.25">
      <c r="A16" s="7" t="s">
        <v>73</v>
      </c>
      <c r="B16" s="7" t="s">
        <v>74</v>
      </c>
      <c r="C16" s="7" t="s">
        <v>75</v>
      </c>
      <c r="D16" s="6">
        <v>0.86299999999999999</v>
      </c>
      <c r="E16" s="7" t="s">
        <v>76</v>
      </c>
      <c r="F16" s="7" t="s">
        <v>74</v>
      </c>
      <c r="G16" s="6">
        <v>4091686.6679999996</v>
      </c>
      <c r="H16" s="6">
        <f>_xll.BDP($A16,"IPO_OFFER_PX_TO_LAST_CLOSE_%_CHG",$A$1,$A$2)</f>
        <v>-97.910409999999999</v>
      </c>
      <c r="I16" s="6" t="str">
        <f>_xll.BDP($A16,"IPO_OFFER_PX_TO_1ST_OPEN_%_CHG",$A$1,$A$2)</f>
        <v>#N/A N/A</v>
      </c>
      <c r="J16" s="6">
        <v>4.13</v>
      </c>
      <c r="K16" s="6">
        <v>3875000</v>
      </c>
      <c r="L16" s="7" t="s">
        <v>21</v>
      </c>
      <c r="M16" s="7" t="s">
        <v>22</v>
      </c>
      <c r="N16" s="7" t="s">
        <v>22</v>
      </c>
    </row>
    <row r="17" spans="1:14" s="4" customFormat="1" ht="13.2" x14ac:dyDescent="0.25">
      <c r="A17" s="7" t="s">
        <v>77</v>
      </c>
      <c r="B17" s="7" t="s">
        <v>78</v>
      </c>
      <c r="C17" s="7" t="s">
        <v>75</v>
      </c>
      <c r="D17" s="6"/>
      <c r="E17" s="7" t="s">
        <v>79</v>
      </c>
      <c r="F17" s="7" t="s">
        <v>78</v>
      </c>
      <c r="G17" s="6"/>
      <c r="H17" s="6" t="str">
        <f>_xll.BDP($A17,"IPO_OFFER_PX_TO_LAST_CLOSE_%_CHG",$A$1,$A$2)</f>
        <v>#N/A N/A</v>
      </c>
      <c r="I17" s="6">
        <f>_xll.BDP($A17,"IPO_OFFER_PX_TO_1ST_OPEN_%_CHG",$A$1,$A$2)</f>
        <v>0.5</v>
      </c>
      <c r="J17" s="6">
        <v>10</v>
      </c>
      <c r="K17" s="6">
        <v>25000000</v>
      </c>
      <c r="L17" s="7"/>
      <c r="M17" s="7"/>
      <c r="N17" s="7"/>
    </row>
    <row r="18" spans="1:14" s="4" customFormat="1" ht="13.2" x14ac:dyDescent="0.25">
      <c r="A18" s="7" t="s">
        <v>80</v>
      </c>
      <c r="B18" s="7" t="s">
        <v>81</v>
      </c>
      <c r="C18" s="7" t="s">
        <v>82</v>
      </c>
      <c r="D18" s="6">
        <v>16.100000000000001</v>
      </c>
      <c r="E18" s="7" t="s">
        <v>83</v>
      </c>
      <c r="F18" s="7" t="s">
        <v>81</v>
      </c>
      <c r="G18" s="6"/>
      <c r="H18" s="6">
        <f>_xll.BDP($A18,"IPO_OFFER_PX_TO_LAST_CLOSE_%_CHG",$A$1,$A$2)</f>
        <v>-19.5</v>
      </c>
      <c r="I18" s="6">
        <f>_xll.BDP($A18,"IPO_OFFER_PX_TO_1ST_OPEN_%_CHG",$A$1,$A$2)</f>
        <v>0</v>
      </c>
      <c r="J18" s="6">
        <v>20</v>
      </c>
      <c r="K18" s="6">
        <v>32750000</v>
      </c>
      <c r="L18" s="7"/>
      <c r="M18" s="7"/>
      <c r="N18" s="7"/>
    </row>
    <row r="19" spans="1:14" s="4" customFormat="1" ht="13.2" x14ac:dyDescent="0.25">
      <c r="A19" s="7" t="s">
        <v>84</v>
      </c>
      <c r="B19" s="7" t="s">
        <v>85</v>
      </c>
      <c r="C19" s="7" t="s">
        <v>82</v>
      </c>
      <c r="D19" s="6">
        <v>0.33000001311302185</v>
      </c>
      <c r="E19" s="7" t="s">
        <v>86</v>
      </c>
      <c r="F19" s="7" t="s">
        <v>85</v>
      </c>
      <c r="G19" s="6">
        <v>248590854.57811272</v>
      </c>
      <c r="H19" s="6">
        <f>_xll.BDP($A19,"IPO_OFFER_PX_TO_LAST_CLOSE_%_CHG",$A$1,$A$2)</f>
        <v>-67.112139999999997</v>
      </c>
      <c r="I19" s="6">
        <f>_xll.BDP($A19,"IPO_OFFER_PX_TO_1ST_OPEN_%_CHG",$A$1,$A$2)</f>
        <v>-4.6296299999999997</v>
      </c>
      <c r="J19" s="6">
        <v>1.08</v>
      </c>
      <c r="K19" s="6">
        <v>101852000</v>
      </c>
      <c r="L19" s="7" t="s">
        <v>21</v>
      </c>
      <c r="M19" s="7" t="s">
        <v>87</v>
      </c>
      <c r="N19" s="7" t="s">
        <v>88</v>
      </c>
    </row>
    <row r="20" spans="1:14" s="4" customFormat="1" ht="13.2" x14ac:dyDescent="0.25">
      <c r="A20" s="7" t="s">
        <v>89</v>
      </c>
      <c r="B20" s="7" t="s">
        <v>90</v>
      </c>
      <c r="C20" s="7" t="s">
        <v>82</v>
      </c>
      <c r="D20" s="6"/>
      <c r="E20" s="7" t="s">
        <v>91</v>
      </c>
      <c r="F20" s="7" t="s">
        <v>90</v>
      </c>
      <c r="G20" s="6"/>
      <c r="H20" s="6" t="str">
        <f>_xll.BDP($A20,"IPO_OFFER_PX_TO_LAST_CLOSE_%_CHG",$A$1,$A$2)</f>
        <v>#N/A N/A</v>
      </c>
      <c r="I20" s="6">
        <f>_xll.BDP($A20,"IPO_OFFER_PX_TO_1ST_OPEN_%_CHG",$A$1,$A$2)</f>
        <v>300</v>
      </c>
      <c r="J20" s="6">
        <v>10</v>
      </c>
      <c r="K20" s="6">
        <v>2500000</v>
      </c>
      <c r="L20" s="7"/>
      <c r="M20" s="7"/>
      <c r="N20" s="7"/>
    </row>
    <row r="21" spans="1:14" s="4" customFormat="1" ht="13.2" x14ac:dyDescent="0.25">
      <c r="A21" s="7" t="s">
        <v>92</v>
      </c>
      <c r="B21" s="7" t="s">
        <v>93</v>
      </c>
      <c r="C21" s="7" t="s">
        <v>94</v>
      </c>
      <c r="D21" s="6">
        <v>13.65</v>
      </c>
      <c r="E21" s="7" t="s">
        <v>95</v>
      </c>
      <c r="F21" s="7" t="s">
        <v>93</v>
      </c>
      <c r="G21" s="6">
        <v>187087432.34999999</v>
      </c>
      <c r="H21" s="6">
        <f>_xll.BDP($A21,"IPO_OFFER_PX_TO_LAST_CLOSE_%_CHG",$A$1,$A$2)</f>
        <v>30</v>
      </c>
      <c r="I21" s="6">
        <f>_xll.BDP($A21,"IPO_OFFER_PX_TO_1ST_OPEN_%_CHG",$A$1,$A$2)</f>
        <v>19.047619999999998</v>
      </c>
      <c r="J21" s="6">
        <v>10.5</v>
      </c>
      <c r="K21" s="6">
        <v>3500000</v>
      </c>
      <c r="L21" s="7" t="s">
        <v>66</v>
      </c>
      <c r="M21" s="7" t="s">
        <v>96</v>
      </c>
      <c r="N21" s="7" t="s">
        <v>97</v>
      </c>
    </row>
    <row r="22" spans="1:14" s="4" customFormat="1" ht="13.2" x14ac:dyDescent="0.25">
      <c r="A22" s="7" t="s">
        <v>98</v>
      </c>
      <c r="B22" s="7" t="s">
        <v>99</v>
      </c>
      <c r="C22" s="7" t="s">
        <v>100</v>
      </c>
      <c r="D22" s="6">
        <v>6.65</v>
      </c>
      <c r="E22" s="7" t="s">
        <v>101</v>
      </c>
      <c r="F22" s="7" t="s">
        <v>99</v>
      </c>
      <c r="G22" s="6">
        <v>790203919.04999995</v>
      </c>
      <c r="H22" s="6">
        <f>_xll.BDP($A22,"IPO_OFFER_PX_TO_LAST_CLOSE_%_CHG",$A$1,$A$2)</f>
        <v>-76.25</v>
      </c>
      <c r="I22" s="6">
        <f>_xll.BDP($A22,"IPO_OFFER_PX_TO_1ST_OPEN_%_CHG",$A$1,$A$2)</f>
        <v>85.714290000000005</v>
      </c>
      <c r="J22" s="6">
        <v>28</v>
      </c>
      <c r="K22" s="6">
        <v>13000000</v>
      </c>
      <c r="L22" s="7" t="s">
        <v>102</v>
      </c>
      <c r="M22" s="7" t="s">
        <v>103</v>
      </c>
      <c r="N22" s="7" t="s">
        <v>104</v>
      </c>
    </row>
    <row r="23" spans="1:14" s="4" customFormat="1" ht="13.2" x14ac:dyDescent="0.25">
      <c r="A23" s="7" t="s">
        <v>105</v>
      </c>
      <c r="B23" s="7" t="s">
        <v>106</v>
      </c>
      <c r="C23" s="7" t="s">
        <v>107</v>
      </c>
      <c r="D23" s="6">
        <v>26.19</v>
      </c>
      <c r="E23" s="7" t="s">
        <v>108</v>
      </c>
      <c r="F23" s="7" t="s">
        <v>106</v>
      </c>
      <c r="G23" s="6">
        <v>2949823411.1100001</v>
      </c>
      <c r="H23" s="6">
        <f>_xll.BDP($A23,"IPO_OFFER_PX_TO_LAST_CLOSE_%_CHG",$A$1,$A$2)</f>
        <v>-59.707689999999999</v>
      </c>
      <c r="I23" s="6">
        <f>_xll.BDP($A23,"IPO_OFFER_PX_TO_1ST_OPEN_%_CHG",$A$1,$A$2)</f>
        <v>34.153849999999998</v>
      </c>
      <c r="J23" s="6">
        <v>65</v>
      </c>
      <c r="K23" s="6">
        <v>8000000</v>
      </c>
      <c r="L23" s="7" t="s">
        <v>40</v>
      </c>
      <c r="M23" s="7" t="s">
        <v>41</v>
      </c>
      <c r="N23" s="7" t="s">
        <v>42</v>
      </c>
    </row>
    <row r="24" spans="1:14" s="4" customFormat="1" ht="13.2" x14ac:dyDescent="0.25">
      <c r="A24" s="7" t="s">
        <v>109</v>
      </c>
      <c r="B24" s="7" t="s">
        <v>110</v>
      </c>
      <c r="C24" s="7" t="s">
        <v>107</v>
      </c>
      <c r="D24" s="6"/>
      <c r="E24" s="7" t="s">
        <v>111</v>
      </c>
      <c r="F24" s="7" t="s">
        <v>110</v>
      </c>
      <c r="G24" s="6"/>
      <c r="H24" s="6" t="str">
        <f>_xll.BDP($A24,"IPO_OFFER_PX_TO_LAST_CLOSE_%_CHG",$A$1,$A$2)</f>
        <v>#N/A N/A</v>
      </c>
      <c r="I24" s="6">
        <f>_xll.BDP($A24,"IPO_OFFER_PX_TO_1ST_OPEN_%_CHG",$A$1,$A$2)</f>
        <v>8.9285720000000008</v>
      </c>
      <c r="J24" s="6">
        <v>14</v>
      </c>
      <c r="K24" s="6">
        <v>10000000</v>
      </c>
      <c r="L24" s="7"/>
      <c r="M24" s="7"/>
      <c r="N24" s="7"/>
    </row>
    <row r="25" spans="1:14" s="4" customFormat="1" ht="13.2" x14ac:dyDescent="0.25">
      <c r="A25" s="7" t="s">
        <v>112</v>
      </c>
      <c r="B25" s="7" t="s">
        <v>113</v>
      </c>
      <c r="C25" s="7" t="s">
        <v>114</v>
      </c>
      <c r="D25" s="6">
        <v>10.96</v>
      </c>
      <c r="E25" s="7" t="s">
        <v>115</v>
      </c>
      <c r="F25" s="7" t="s">
        <v>113</v>
      </c>
      <c r="G25" s="6">
        <v>403831633.92000002</v>
      </c>
      <c r="H25" s="6">
        <f>_xll.BDP($A25,"IPO_OFFER_PX_TO_LAST_CLOSE_%_CHG",$A$1,$A$2)</f>
        <v>-48.616970000000002</v>
      </c>
      <c r="I25" s="6" t="str">
        <f>_xll.BDP($A25,"IPO_OFFER_PX_TO_1ST_OPEN_%_CHG",$A$1,$A$2)</f>
        <v>#N/A N/A</v>
      </c>
      <c r="J25" s="6">
        <v>21.33</v>
      </c>
      <c r="K25" s="6">
        <v>2500000</v>
      </c>
      <c r="L25" s="7" t="s">
        <v>66</v>
      </c>
      <c r="M25" s="7" t="s">
        <v>116</v>
      </c>
      <c r="N25" s="7" t="s">
        <v>117</v>
      </c>
    </row>
    <row r="26" spans="1:14" s="4" customFormat="1" ht="13.2" x14ac:dyDescent="0.25">
      <c r="A26" s="7" t="s">
        <v>118</v>
      </c>
      <c r="B26" s="7" t="s">
        <v>119</v>
      </c>
      <c r="C26" s="7" t="s">
        <v>114</v>
      </c>
      <c r="D26" s="6"/>
      <c r="E26" s="7" t="s">
        <v>120</v>
      </c>
      <c r="F26" s="7" t="s">
        <v>119</v>
      </c>
      <c r="G26" s="6"/>
      <c r="H26" s="6" t="str">
        <f>_xll.BDP($A26,"IPO_OFFER_PX_TO_LAST_CLOSE_%_CHG",$A$1,$A$2)</f>
        <v>#N/A N/A</v>
      </c>
      <c r="I26" s="6">
        <f>_xll.BDP($A26,"IPO_OFFER_PX_TO_1ST_OPEN_%_CHG",$A$1,$A$2)</f>
        <v>2.040816</v>
      </c>
      <c r="J26" s="6">
        <v>2.4500000000000002</v>
      </c>
      <c r="K26" s="6">
        <v>19066500</v>
      </c>
      <c r="L26" s="7"/>
      <c r="M26" s="7"/>
      <c r="N26" s="7"/>
    </row>
    <row r="27" spans="1:14" s="4" customFormat="1" ht="13.2" x14ac:dyDescent="0.25">
      <c r="A27" s="7" t="s">
        <v>121</v>
      </c>
      <c r="B27" s="7" t="s">
        <v>122</v>
      </c>
      <c r="C27" s="7" t="s">
        <v>123</v>
      </c>
      <c r="D27" s="6">
        <v>0.66</v>
      </c>
      <c r="E27" s="7" t="s">
        <v>124</v>
      </c>
      <c r="F27" s="7" t="s">
        <v>122</v>
      </c>
      <c r="G27" s="6">
        <v>73536705.000000015</v>
      </c>
      <c r="H27" s="6">
        <f>_xll.BDP($A27,"IPO_OFFER_PX_TO_LAST_CLOSE_%_CHG",$A$1,$A$2)</f>
        <v>-22.35294</v>
      </c>
      <c r="I27" s="6">
        <f>_xll.BDP($A27,"IPO_OFFER_PX_TO_1ST_OPEN_%_CHG",$A$1,$A$2)</f>
        <v>-17.64706</v>
      </c>
      <c r="J27" s="6">
        <v>0.85</v>
      </c>
      <c r="K27" s="6">
        <v>6124500</v>
      </c>
      <c r="L27" s="7" t="s">
        <v>125</v>
      </c>
      <c r="M27" s="7" t="s">
        <v>126</v>
      </c>
      <c r="N27" s="7" t="s">
        <v>127</v>
      </c>
    </row>
    <row r="28" spans="1:14" s="4" customFormat="1" ht="13.2" x14ac:dyDescent="0.25">
      <c r="A28" s="7" t="s">
        <v>128</v>
      </c>
      <c r="B28" s="7" t="s">
        <v>129</v>
      </c>
      <c r="C28" s="7" t="s">
        <v>130</v>
      </c>
      <c r="D28" s="6">
        <v>7.09</v>
      </c>
      <c r="E28" s="7" t="s">
        <v>131</v>
      </c>
      <c r="F28" s="7" t="s">
        <v>129</v>
      </c>
      <c r="G28" s="6">
        <v>195219938.23000002</v>
      </c>
      <c r="H28" s="6">
        <f>_xll.BDP($A28,"IPO_OFFER_PX_TO_LAST_CLOSE_%_CHG",$A$1,$A$2)</f>
        <v>-29.1</v>
      </c>
      <c r="I28" s="6">
        <f>_xll.BDP($A28,"IPO_OFFER_PX_TO_1ST_OPEN_%_CHG",$A$1,$A$2)</f>
        <v>-13</v>
      </c>
      <c r="J28" s="6">
        <v>10</v>
      </c>
      <c r="K28" s="6">
        <v>3520000</v>
      </c>
      <c r="L28" s="7" t="s">
        <v>21</v>
      </c>
      <c r="M28" s="7" t="s">
        <v>62</v>
      </c>
      <c r="N28" s="7" t="s">
        <v>62</v>
      </c>
    </row>
    <row r="29" spans="1:14" s="4" customFormat="1" ht="13.2" x14ac:dyDescent="0.25">
      <c r="A29" s="7" t="s">
        <v>132</v>
      </c>
      <c r="B29" s="7" t="s">
        <v>133</v>
      </c>
      <c r="C29" s="7" t="s">
        <v>134</v>
      </c>
      <c r="D29" s="6">
        <v>13.16</v>
      </c>
      <c r="E29" s="7" t="s">
        <v>135</v>
      </c>
      <c r="F29" s="7" t="s">
        <v>133</v>
      </c>
      <c r="G29" s="6">
        <v>789600000</v>
      </c>
      <c r="H29" s="6">
        <f>_xll.BDP($A29,"IPO_OFFER_PX_TO_LAST_CLOSE_%_CHG",$A$1,$A$2)</f>
        <v>-17.75</v>
      </c>
      <c r="I29" s="6">
        <f>_xll.BDP($A29,"IPO_OFFER_PX_TO_1ST_OPEN_%_CHG",$A$1,$A$2)</f>
        <v>18.75</v>
      </c>
      <c r="J29" s="6">
        <v>16</v>
      </c>
      <c r="K29" s="6">
        <v>6250000</v>
      </c>
      <c r="L29" s="7" t="s">
        <v>40</v>
      </c>
      <c r="M29" s="7" t="s">
        <v>136</v>
      </c>
      <c r="N29" s="7" t="s">
        <v>137</v>
      </c>
    </row>
    <row r="30" spans="1:14" s="4" customFormat="1" ht="13.2" x14ac:dyDescent="0.25">
      <c r="A30" s="7" t="s">
        <v>138</v>
      </c>
      <c r="B30" s="7" t="s">
        <v>139</v>
      </c>
      <c r="C30" s="7" t="s">
        <v>134</v>
      </c>
      <c r="D30" s="6">
        <v>7.15</v>
      </c>
      <c r="E30" s="7" t="s">
        <v>140</v>
      </c>
      <c r="F30" s="7" t="s">
        <v>139</v>
      </c>
      <c r="G30" s="6">
        <v>568894290.25</v>
      </c>
      <c r="H30" s="6">
        <f>_xll.BDP($A30,"IPO_OFFER_PX_TO_LAST_CLOSE_%_CHG",$A$1,$A$2)</f>
        <v>-70.208340000000007</v>
      </c>
      <c r="I30" s="6">
        <f>_xll.BDP($A30,"IPO_OFFER_PX_TO_1ST_OPEN_%_CHG",$A$1,$A$2)</f>
        <v>-9.1666670000000003</v>
      </c>
      <c r="J30" s="6">
        <v>24</v>
      </c>
      <c r="K30" s="6">
        <v>5000000</v>
      </c>
      <c r="L30" s="7" t="s">
        <v>40</v>
      </c>
      <c r="M30" s="7" t="s">
        <v>41</v>
      </c>
      <c r="N30" s="7" t="s">
        <v>42</v>
      </c>
    </row>
    <row r="31" spans="1:14" s="4" customFormat="1" ht="13.2" x14ac:dyDescent="0.25">
      <c r="A31" s="7" t="s">
        <v>141</v>
      </c>
      <c r="B31" s="7" t="s">
        <v>142</v>
      </c>
      <c r="C31" s="7" t="s">
        <v>134</v>
      </c>
      <c r="D31" s="6"/>
      <c r="E31" s="7" t="s">
        <v>143</v>
      </c>
      <c r="F31" s="7" t="s">
        <v>142</v>
      </c>
      <c r="G31" s="6"/>
      <c r="H31" s="6" t="str">
        <f>_xll.BDP($A31,"IPO_OFFER_PX_TO_LAST_CLOSE_%_CHG",$A$1,$A$2)</f>
        <v>#N/A N/A</v>
      </c>
      <c r="I31" s="6">
        <f>_xll.BDP($A31,"IPO_OFFER_PX_TO_1ST_OPEN_%_CHG",$A$1,$A$2)</f>
        <v>0</v>
      </c>
      <c r="J31" s="6">
        <v>13</v>
      </c>
      <c r="K31" s="6">
        <v>1692300</v>
      </c>
      <c r="L31" s="7"/>
      <c r="M31" s="7"/>
      <c r="N31" s="7"/>
    </row>
    <row r="32" spans="1:14" s="4" customFormat="1" ht="13.2" x14ac:dyDescent="0.25">
      <c r="A32" s="7" t="s">
        <v>144</v>
      </c>
      <c r="B32" s="7" t="s">
        <v>145</v>
      </c>
      <c r="C32" s="7" t="s">
        <v>134</v>
      </c>
      <c r="D32" s="6">
        <v>0.36109999999999998</v>
      </c>
      <c r="E32" s="7" t="s">
        <v>146</v>
      </c>
      <c r="F32" s="7" t="s">
        <v>145</v>
      </c>
      <c r="G32" s="6">
        <v>1499019.6248999999</v>
      </c>
      <c r="H32" s="6">
        <f>_xll.BDP($A32,"IPO_OFFER_PX_TO_LAST_CLOSE_%_CHG",$A$1,$A$2)</f>
        <v>-99.995750000000001</v>
      </c>
      <c r="I32" s="6">
        <f>_xll.BDP($A32,"IPO_OFFER_PX_TO_1ST_OPEN_%_CHG",$A$1,$A$2)</f>
        <v>20</v>
      </c>
      <c r="J32" s="6">
        <v>5</v>
      </c>
      <c r="K32" s="6">
        <v>3000000</v>
      </c>
      <c r="L32" s="7" t="s">
        <v>21</v>
      </c>
      <c r="M32" s="7" t="s">
        <v>22</v>
      </c>
      <c r="N32" s="7" t="s">
        <v>22</v>
      </c>
    </row>
    <row r="33" spans="1:14" s="4" customFormat="1" ht="13.2" x14ac:dyDescent="0.25">
      <c r="A33" s="7" t="s">
        <v>147</v>
      </c>
      <c r="B33" s="7" t="s">
        <v>148</v>
      </c>
      <c r="C33" s="7" t="s">
        <v>134</v>
      </c>
      <c r="D33" s="6">
        <v>2.0000000000000001E-4</v>
      </c>
      <c r="E33" s="7" t="s">
        <v>149</v>
      </c>
      <c r="F33" s="7" t="s">
        <v>148</v>
      </c>
      <c r="G33" s="6">
        <v>25349.536799999998</v>
      </c>
      <c r="H33" s="6">
        <f>_xll.BDP($A33,"IPO_OFFER_PX_TO_LAST_CLOSE_%_CHG",$A$1,$A$2)</f>
        <v>-99.998459999999994</v>
      </c>
      <c r="I33" s="6">
        <f>_xll.BDP($A33,"IPO_OFFER_PX_TO_1ST_OPEN_%_CHG",$A$1,$A$2)</f>
        <v>30</v>
      </c>
      <c r="J33" s="6">
        <v>13</v>
      </c>
      <c r="K33" s="6">
        <v>6000000</v>
      </c>
      <c r="L33" s="7" t="s">
        <v>21</v>
      </c>
      <c r="M33" s="7" t="s">
        <v>22</v>
      </c>
      <c r="N33" s="7" t="s">
        <v>22</v>
      </c>
    </row>
    <row r="34" spans="1:14" s="4" customFormat="1" ht="13.2" x14ac:dyDescent="0.25">
      <c r="A34" s="7" t="s">
        <v>150</v>
      </c>
      <c r="B34" s="7" t="s">
        <v>151</v>
      </c>
      <c r="C34" s="7" t="s">
        <v>134</v>
      </c>
      <c r="D34" s="6">
        <v>5.0000000000000001E-4</v>
      </c>
      <c r="E34" s="7" t="s">
        <v>152</v>
      </c>
      <c r="F34" s="7" t="s">
        <v>151</v>
      </c>
      <c r="G34" s="6">
        <v>975.81900000000007</v>
      </c>
      <c r="H34" s="6">
        <f>_xll.BDP($A34,"IPO_OFFER_PX_TO_LAST_CLOSE_%_CHG",$A$1,$A$2)</f>
        <v>-99.998829999999998</v>
      </c>
      <c r="I34" s="6">
        <f>_xll.BDP($A34,"IPO_OFFER_PX_TO_1ST_OPEN_%_CHG",$A$1,$A$2)</f>
        <v>17.529409999999999</v>
      </c>
      <c r="J34" s="6">
        <v>8.5</v>
      </c>
      <c r="K34" s="6">
        <v>2117600</v>
      </c>
      <c r="L34" s="7" t="s">
        <v>102</v>
      </c>
      <c r="M34" s="7" t="s">
        <v>153</v>
      </c>
      <c r="N34" s="7" t="s">
        <v>154</v>
      </c>
    </row>
    <row r="35" spans="1:14" s="4" customFormat="1" ht="13.2" x14ac:dyDescent="0.25">
      <c r="A35" s="7" t="s">
        <v>155</v>
      </c>
      <c r="B35" s="7" t="s">
        <v>156</v>
      </c>
      <c r="C35" s="7" t="s">
        <v>134</v>
      </c>
      <c r="D35" s="6">
        <v>16.62</v>
      </c>
      <c r="E35" s="7" t="s">
        <v>157</v>
      </c>
      <c r="F35" s="7" t="s">
        <v>156</v>
      </c>
      <c r="G35" s="6">
        <v>47611347.240000002</v>
      </c>
      <c r="H35" s="6">
        <f>_xll.BDP($A35,"IPO_OFFER_PX_TO_LAST_CLOSE_%_CHG",$A$1,$A$2)</f>
        <v>-93.074969999999993</v>
      </c>
      <c r="I35" s="6">
        <f>_xll.BDP($A35,"IPO_OFFER_PX_TO_1ST_OPEN_%_CHG",$A$1,$A$2)</f>
        <v>-12.1875</v>
      </c>
      <c r="J35" s="6">
        <v>16</v>
      </c>
      <c r="K35" s="6">
        <v>5750000</v>
      </c>
      <c r="L35" s="7" t="s">
        <v>102</v>
      </c>
      <c r="M35" s="7" t="s">
        <v>153</v>
      </c>
      <c r="N35" s="7" t="s">
        <v>154</v>
      </c>
    </row>
    <row r="36" spans="1:14" s="4" customFormat="1" ht="13.2" x14ac:dyDescent="0.25">
      <c r="A36" s="7" t="s">
        <v>158</v>
      </c>
      <c r="B36" s="7" t="s">
        <v>159</v>
      </c>
      <c r="C36" s="7" t="s">
        <v>160</v>
      </c>
      <c r="D36" s="6">
        <v>17.239999999999998</v>
      </c>
      <c r="E36" s="7" t="s">
        <v>161</v>
      </c>
      <c r="F36" s="7" t="s">
        <v>159</v>
      </c>
      <c r="G36" s="6">
        <v>24758684198.519993</v>
      </c>
      <c r="H36" s="6">
        <f>_xll.BDP($A36,"IPO_OFFER_PX_TO_LAST_CLOSE_%_CHG",$A$1,$A$2)</f>
        <v>-77.897440000000003</v>
      </c>
      <c r="I36" s="6">
        <f>_xll.BDP($A36,"IPO_OFFER_PX_TO_1ST_OPEN_%_CHG",$A$1,$A$2)</f>
        <v>36.858969999999999</v>
      </c>
      <c r="J36" s="6">
        <v>78</v>
      </c>
      <c r="K36" s="6">
        <v>153000000</v>
      </c>
      <c r="L36" s="7" t="s">
        <v>102</v>
      </c>
      <c r="M36" s="7" t="s">
        <v>162</v>
      </c>
      <c r="N36" s="7" t="s">
        <v>163</v>
      </c>
    </row>
    <row r="37" spans="1:14" s="4" customFormat="1" ht="13.2" x14ac:dyDescent="0.25">
      <c r="A37" s="7" t="s">
        <v>164</v>
      </c>
      <c r="B37" s="7" t="s">
        <v>165</v>
      </c>
      <c r="C37" s="7" t="s">
        <v>160</v>
      </c>
      <c r="D37" s="6">
        <v>1.78</v>
      </c>
      <c r="E37" s="7" t="s">
        <v>166</v>
      </c>
      <c r="F37" s="7" t="s">
        <v>165</v>
      </c>
      <c r="G37" s="6">
        <v>171659851.81999999</v>
      </c>
      <c r="H37" s="6">
        <f>_xll.BDP($A37,"IPO_OFFER_PX_TO_LAST_CLOSE_%_CHG",$A$1,$A$2)</f>
        <v>-93.407409999999999</v>
      </c>
      <c r="I37" s="6">
        <f>_xll.BDP($A37,"IPO_OFFER_PX_TO_1ST_OPEN_%_CHG",$A$1,$A$2)</f>
        <v>47.22222</v>
      </c>
      <c r="J37" s="6">
        <v>27</v>
      </c>
      <c r="K37" s="6">
        <v>9730800</v>
      </c>
      <c r="L37" s="7" t="s">
        <v>40</v>
      </c>
      <c r="M37" s="7" t="s">
        <v>41</v>
      </c>
      <c r="N37" s="7" t="s">
        <v>42</v>
      </c>
    </row>
    <row r="38" spans="1:14" s="4" customFormat="1" ht="13.2" x14ac:dyDescent="0.25">
      <c r="A38" s="7" t="s">
        <v>167</v>
      </c>
      <c r="B38" s="7" t="s">
        <v>168</v>
      </c>
      <c r="C38" s="7" t="s">
        <v>169</v>
      </c>
      <c r="D38" s="6">
        <v>40.04</v>
      </c>
      <c r="E38" s="7" t="s">
        <v>170</v>
      </c>
      <c r="F38" s="7" t="s">
        <v>168</v>
      </c>
      <c r="G38" s="6">
        <v>664346522.84000003</v>
      </c>
      <c r="H38" s="6">
        <f>_xll.BDP($A38,"IPO_OFFER_PX_TO_LAST_CLOSE_%_CHG",$A$1,$A$2)</f>
        <v>60.16</v>
      </c>
      <c r="I38" s="6">
        <f>_xll.BDP($A38,"IPO_OFFER_PX_TO_1ST_OPEN_%_CHG",$A$1,$A$2)</f>
        <v>4</v>
      </c>
      <c r="J38" s="6">
        <v>25</v>
      </c>
      <c r="K38" s="6">
        <v>3500000</v>
      </c>
      <c r="L38" s="7" t="s">
        <v>66</v>
      </c>
      <c r="M38" s="7" t="s">
        <v>96</v>
      </c>
      <c r="N38" s="7" t="s">
        <v>97</v>
      </c>
    </row>
    <row r="39" spans="1:14" s="4" customFormat="1" ht="13.2" x14ac:dyDescent="0.25">
      <c r="A39" s="7" t="s">
        <v>171</v>
      </c>
      <c r="B39" s="7" t="s">
        <v>172</v>
      </c>
      <c r="C39" s="7" t="s">
        <v>169</v>
      </c>
      <c r="D39" s="6">
        <v>4.0000000000000002E-4</v>
      </c>
      <c r="E39" s="7" t="s">
        <v>173</v>
      </c>
      <c r="F39" s="7" t="s">
        <v>172</v>
      </c>
      <c r="G39" s="6">
        <v>5194.9376000000002</v>
      </c>
      <c r="H39" s="6">
        <f>_xll.BDP($A39,"IPO_OFFER_PX_TO_LAST_CLOSE_%_CHG",$A$1,$A$2)</f>
        <v>-99.999700000000004</v>
      </c>
      <c r="I39" s="6">
        <f>_xll.BDP($A39,"IPO_OFFER_PX_TO_1ST_OPEN_%_CHG",$A$1,$A$2)</f>
        <v>72.222219999999993</v>
      </c>
      <c r="J39" s="6">
        <v>9</v>
      </c>
      <c r="K39" s="6">
        <v>2888900</v>
      </c>
      <c r="L39" s="7" t="s">
        <v>174</v>
      </c>
      <c r="M39" s="7" t="s">
        <v>175</v>
      </c>
      <c r="N39" s="7" t="s">
        <v>175</v>
      </c>
    </row>
    <row r="40" spans="1:14" s="4" customFormat="1" ht="13.2" x14ac:dyDescent="0.25">
      <c r="A40" s="7" t="s">
        <v>176</v>
      </c>
      <c r="B40" s="7" t="s">
        <v>177</v>
      </c>
      <c r="C40" s="7" t="s">
        <v>169</v>
      </c>
      <c r="D40" s="6">
        <v>1.76</v>
      </c>
      <c r="E40" s="7" t="s">
        <v>178</v>
      </c>
      <c r="F40" s="7" t="s">
        <v>177</v>
      </c>
      <c r="G40" s="6">
        <v>619678514.39999998</v>
      </c>
      <c r="H40" s="6">
        <f>_xll.BDP($A40,"IPO_OFFER_PX_TO_LAST_CLOSE_%_CHG",$A$1,$A$2)</f>
        <v>-93.931039999999996</v>
      </c>
      <c r="I40" s="6" t="str">
        <f>_xll.BDP($A40,"IPO_OFFER_PX_TO_1ST_OPEN_%_CHG",$A$1,$A$2)</f>
        <v>#N/A N/A</v>
      </c>
      <c r="J40" s="6">
        <v>29</v>
      </c>
      <c r="K40" s="6">
        <v>44520000</v>
      </c>
      <c r="L40" s="7" t="s">
        <v>33</v>
      </c>
      <c r="M40" s="7" t="s">
        <v>179</v>
      </c>
      <c r="N40" s="7" t="s">
        <v>180</v>
      </c>
    </row>
    <row r="41" spans="1:14" s="4" customFormat="1" ht="13.2" x14ac:dyDescent="0.25">
      <c r="A41" s="7" t="s">
        <v>181</v>
      </c>
      <c r="B41" s="7" t="s">
        <v>182</v>
      </c>
      <c r="C41" s="7" t="s">
        <v>183</v>
      </c>
      <c r="D41" s="6">
        <v>1.1599999999999999</v>
      </c>
      <c r="E41" s="7" t="s">
        <v>184</v>
      </c>
      <c r="F41" s="7" t="s">
        <v>182</v>
      </c>
      <c r="G41" s="6">
        <v>26410014.639999997</v>
      </c>
      <c r="H41" s="6">
        <f>_xll.BDP($A41,"IPO_OFFER_PX_TO_LAST_CLOSE_%_CHG",$A$1,$A$2)</f>
        <v>-99.42</v>
      </c>
      <c r="I41" s="6">
        <f>_xll.BDP($A41,"IPO_OFFER_PX_TO_1ST_OPEN_%_CHG",$A$1,$A$2)</f>
        <v>187</v>
      </c>
      <c r="J41" s="6">
        <v>5</v>
      </c>
      <c r="K41" s="6">
        <v>2000000</v>
      </c>
      <c r="L41" s="7" t="s">
        <v>21</v>
      </c>
      <c r="M41" s="7" t="s">
        <v>22</v>
      </c>
      <c r="N41" s="7" t="s">
        <v>22</v>
      </c>
    </row>
    <row r="42" spans="1:14" s="4" customFormat="1" ht="13.2" x14ac:dyDescent="0.25">
      <c r="A42" s="7" t="s">
        <v>185</v>
      </c>
      <c r="B42" s="7" t="s">
        <v>186</v>
      </c>
      <c r="C42" s="7" t="s">
        <v>183</v>
      </c>
      <c r="D42" s="6">
        <v>0.33</v>
      </c>
      <c r="E42" s="7" t="s">
        <v>187</v>
      </c>
      <c r="F42" s="7" t="s">
        <v>186</v>
      </c>
      <c r="G42" s="6">
        <v>1295090.9400000002</v>
      </c>
      <c r="H42" s="6">
        <f>_xll.BDP($A42,"IPO_OFFER_PX_TO_LAST_CLOSE_%_CHG",$A$1,$A$2)</f>
        <v>-99.770840000000007</v>
      </c>
      <c r="I42" s="6">
        <f>_xll.BDP($A42,"IPO_OFFER_PX_TO_1ST_OPEN_%_CHG",$A$1,$A$2)</f>
        <v>-2.8333330000000001</v>
      </c>
      <c r="J42" s="6">
        <v>12</v>
      </c>
      <c r="K42" s="6">
        <v>5333300</v>
      </c>
      <c r="L42" s="7" t="s">
        <v>47</v>
      </c>
      <c r="M42" s="7" t="s">
        <v>188</v>
      </c>
      <c r="N42" s="7" t="s">
        <v>189</v>
      </c>
    </row>
    <row r="43" spans="1:14" s="4" customFormat="1" ht="13.2" x14ac:dyDescent="0.25">
      <c r="A43" s="7" t="s">
        <v>190</v>
      </c>
      <c r="B43" s="7" t="s">
        <v>191</v>
      </c>
      <c r="C43" s="7" t="s">
        <v>183</v>
      </c>
      <c r="D43" s="6">
        <v>0.32200000000000001</v>
      </c>
      <c r="E43" s="7" t="s">
        <v>192</v>
      </c>
      <c r="F43" s="7" t="s">
        <v>191</v>
      </c>
      <c r="G43" s="6">
        <v>8203970.7400000012</v>
      </c>
      <c r="H43" s="6">
        <f>_xll.BDP($A43,"IPO_OFFER_PX_TO_LAST_CLOSE_%_CHG",$A$1,$A$2)</f>
        <v>-96.78</v>
      </c>
      <c r="I43" s="6" t="str">
        <f>_xll.BDP($A43,"IPO_OFFER_PX_TO_1ST_OPEN_%_CHG",$A$1,$A$2)</f>
        <v>#N/A N/A</v>
      </c>
      <c r="J43" s="6">
        <v>10</v>
      </c>
      <c r="K43" s="6">
        <v>2300000</v>
      </c>
      <c r="L43" s="7" t="s">
        <v>21</v>
      </c>
      <c r="M43" s="7" t="s">
        <v>22</v>
      </c>
      <c r="N43" s="7" t="s">
        <v>22</v>
      </c>
    </row>
    <row r="44" spans="1:14" s="4" customFormat="1" ht="13.2" x14ac:dyDescent="0.25">
      <c r="A44" s="7" t="s">
        <v>193</v>
      </c>
      <c r="B44" s="7" t="s">
        <v>194</v>
      </c>
      <c r="C44" s="7" t="s">
        <v>195</v>
      </c>
      <c r="D44" s="6">
        <v>9.17</v>
      </c>
      <c r="E44" s="7" t="s">
        <v>196</v>
      </c>
      <c r="F44" s="7" t="s">
        <v>194</v>
      </c>
      <c r="G44" s="6">
        <v>603374840.1099999</v>
      </c>
      <c r="H44" s="6">
        <f>_xll.BDP($A44,"IPO_OFFER_PX_TO_LAST_CLOSE_%_CHG",$A$1,$A$2)</f>
        <v>-49.055549999999997</v>
      </c>
      <c r="I44" s="6">
        <f>_xll.BDP($A44,"IPO_OFFER_PX_TO_1ST_OPEN_%_CHG",$A$1,$A$2)</f>
        <v>30.55556</v>
      </c>
      <c r="J44" s="6">
        <v>18</v>
      </c>
      <c r="K44" s="6">
        <v>7250000</v>
      </c>
      <c r="L44" s="7" t="s">
        <v>66</v>
      </c>
      <c r="M44" s="7" t="s">
        <v>197</v>
      </c>
      <c r="N44" s="7" t="s">
        <v>197</v>
      </c>
    </row>
    <row r="45" spans="1:14" s="4" customFormat="1" ht="13.2" x14ac:dyDescent="0.25">
      <c r="A45" s="7" t="s">
        <v>198</v>
      </c>
      <c r="B45" s="7" t="s">
        <v>199</v>
      </c>
      <c r="C45" s="7" t="s">
        <v>195</v>
      </c>
      <c r="D45" s="6">
        <v>17.5</v>
      </c>
      <c r="E45" s="7" t="s">
        <v>200</v>
      </c>
      <c r="F45" s="7" t="s">
        <v>199</v>
      </c>
      <c r="G45" s="6">
        <v>84957447.224999994</v>
      </c>
      <c r="H45" s="6">
        <f>_xll.BDP($A45,"IPO_OFFER_PX_TO_LAST_CLOSE_%_CHG",$A$1,$A$2)</f>
        <v>-88.853499999999997</v>
      </c>
      <c r="I45" s="6">
        <f>_xll.BDP($A45,"IPO_OFFER_PX_TO_1ST_OPEN_%_CHG",$A$1,$A$2)</f>
        <v>8.2802539999999993</v>
      </c>
      <c r="J45" s="6">
        <v>157</v>
      </c>
      <c r="K45" s="6">
        <v>121541000</v>
      </c>
      <c r="L45" s="7" t="s">
        <v>174</v>
      </c>
      <c r="M45" s="7" t="s">
        <v>201</v>
      </c>
      <c r="N45" s="7" t="s">
        <v>202</v>
      </c>
    </row>
    <row r="46" spans="1:14" s="4" customFormat="1" ht="13.2" x14ac:dyDescent="0.25">
      <c r="A46" s="7" t="s">
        <v>203</v>
      </c>
      <c r="B46" s="7" t="s">
        <v>204</v>
      </c>
      <c r="C46" s="7" t="s">
        <v>195</v>
      </c>
      <c r="D46" s="6">
        <v>29.17</v>
      </c>
      <c r="E46" s="7" t="s">
        <v>205</v>
      </c>
      <c r="F46" s="7" t="s">
        <v>204</v>
      </c>
      <c r="G46" s="6">
        <v>1248401645.6699998</v>
      </c>
      <c r="H46" s="6">
        <f>_xll.BDP($A46,"IPO_OFFER_PX_TO_LAST_CLOSE_%_CHG",$A$1,$A$2)</f>
        <v>124.38460000000001</v>
      </c>
      <c r="I46" s="6">
        <f>_xll.BDP($A46,"IPO_OFFER_PX_TO_1ST_OPEN_%_CHG",$A$1,$A$2)</f>
        <v>15.38461</v>
      </c>
      <c r="J46" s="6">
        <v>13</v>
      </c>
      <c r="K46" s="6">
        <v>6000000</v>
      </c>
      <c r="L46" s="7" t="s">
        <v>33</v>
      </c>
      <c r="M46" s="7" t="s">
        <v>53</v>
      </c>
      <c r="N46" s="7" t="s">
        <v>53</v>
      </c>
    </row>
    <row r="47" spans="1:14" s="4" customFormat="1" ht="13.2" x14ac:dyDescent="0.25">
      <c r="A47" s="7" t="s">
        <v>206</v>
      </c>
      <c r="B47" s="7" t="s">
        <v>207</v>
      </c>
      <c r="C47" s="7" t="s">
        <v>195</v>
      </c>
      <c r="D47" s="6">
        <v>7.48</v>
      </c>
      <c r="E47" s="7" t="s">
        <v>208</v>
      </c>
      <c r="F47" s="7" t="s">
        <v>207</v>
      </c>
      <c r="G47" s="6">
        <v>1058719678.72</v>
      </c>
      <c r="H47" s="6">
        <f>_xll.BDP($A47,"IPO_OFFER_PX_TO_LAST_CLOSE_%_CHG",$A$1,$A$2)</f>
        <v>-42.461539999999999</v>
      </c>
      <c r="I47" s="6">
        <f>_xll.BDP($A47,"IPO_OFFER_PX_TO_1ST_OPEN_%_CHG",$A$1,$A$2)</f>
        <v>-3.8461539999999999</v>
      </c>
      <c r="J47" s="6">
        <v>13</v>
      </c>
      <c r="K47" s="6">
        <v>12903200</v>
      </c>
      <c r="L47" s="7" t="s">
        <v>102</v>
      </c>
      <c r="M47" s="7" t="s">
        <v>153</v>
      </c>
      <c r="N47" s="7" t="s">
        <v>209</v>
      </c>
    </row>
    <row r="48" spans="1:14" s="4" customFormat="1" ht="13.2" x14ac:dyDescent="0.25">
      <c r="A48" s="7" t="s">
        <v>210</v>
      </c>
      <c r="B48" s="7" t="s">
        <v>211</v>
      </c>
      <c r="C48" s="7" t="s">
        <v>195</v>
      </c>
      <c r="D48" s="6"/>
      <c r="E48" s="7" t="s">
        <v>212</v>
      </c>
      <c r="F48" s="7" t="s">
        <v>211</v>
      </c>
      <c r="G48" s="6"/>
      <c r="H48" s="6" t="str">
        <f>_xll.BDP($A48,"IPO_OFFER_PX_TO_LAST_CLOSE_%_CHG",$A$1,$A$2)</f>
        <v>#N/A N/A</v>
      </c>
      <c r="I48" s="6">
        <f>_xll.BDP($A48,"IPO_OFFER_PX_TO_1ST_OPEN_%_CHG",$A$1,$A$2)</f>
        <v>0.6</v>
      </c>
      <c r="J48" s="6">
        <v>10</v>
      </c>
      <c r="K48" s="6">
        <v>20000000</v>
      </c>
      <c r="L48" s="7"/>
      <c r="M48" s="7"/>
      <c r="N48" s="7"/>
    </row>
    <row r="49" spans="1:14" s="4" customFormat="1" ht="13.2" x14ac:dyDescent="0.25">
      <c r="A49" s="7" t="s">
        <v>213</v>
      </c>
      <c r="B49" s="7" t="s">
        <v>214</v>
      </c>
      <c r="C49" s="7" t="s">
        <v>215</v>
      </c>
      <c r="D49" s="6">
        <v>2.64</v>
      </c>
      <c r="E49" s="7" t="s">
        <v>216</v>
      </c>
      <c r="F49" s="7" t="s">
        <v>214</v>
      </c>
      <c r="G49" s="6">
        <v>23272149.120000001</v>
      </c>
      <c r="H49" s="6">
        <f>_xll.BDP($A49,"IPO_OFFER_PX_TO_LAST_CLOSE_%_CHG",$A$1,$A$2)</f>
        <v>-99.12</v>
      </c>
      <c r="I49" s="6">
        <f>_xll.BDP($A49,"IPO_OFFER_PX_TO_1ST_OPEN_%_CHG",$A$1,$A$2)</f>
        <v>41.4</v>
      </c>
      <c r="J49" s="6">
        <v>15</v>
      </c>
      <c r="K49" s="6">
        <v>20192300</v>
      </c>
      <c r="L49" s="7" t="s">
        <v>102</v>
      </c>
      <c r="M49" s="7" t="s">
        <v>217</v>
      </c>
      <c r="N49" s="7" t="s">
        <v>218</v>
      </c>
    </row>
    <row r="50" spans="1:14" s="4" customFormat="1" ht="13.2" x14ac:dyDescent="0.25">
      <c r="A50" s="7" t="s">
        <v>219</v>
      </c>
      <c r="B50" s="7" t="s">
        <v>220</v>
      </c>
      <c r="C50" s="7" t="s">
        <v>215</v>
      </c>
      <c r="D50" s="6">
        <v>8.9999999999999998E-4</v>
      </c>
      <c r="E50" s="7" t="s">
        <v>221</v>
      </c>
      <c r="F50" s="7" t="s">
        <v>220</v>
      </c>
      <c r="G50" s="6">
        <v>147492.09089999998</v>
      </c>
      <c r="H50" s="6">
        <f>_xll.BDP($A50,"IPO_OFFER_PX_TO_LAST_CLOSE_%_CHG",$A$1,$A$2)</f>
        <v>-99.999979999999994</v>
      </c>
      <c r="I50" s="6" t="str">
        <f>_xll.BDP($A50,"IPO_OFFER_PX_TO_1ST_OPEN_%_CHG",$A$1,$A$2)</f>
        <v>#N/A N/A</v>
      </c>
      <c r="J50" s="6">
        <v>5</v>
      </c>
      <c r="K50" s="6">
        <v>800000</v>
      </c>
      <c r="L50" s="7" t="s">
        <v>47</v>
      </c>
      <c r="M50" s="7" t="s">
        <v>188</v>
      </c>
      <c r="N50" s="7" t="s">
        <v>189</v>
      </c>
    </row>
    <row r="51" spans="1:14" s="4" customFormat="1" ht="13.2" x14ac:dyDescent="0.25">
      <c r="A51" s="7" t="s">
        <v>222</v>
      </c>
      <c r="B51" s="7" t="s">
        <v>223</v>
      </c>
      <c r="C51" s="7" t="s">
        <v>215</v>
      </c>
      <c r="D51" s="6">
        <v>2.25</v>
      </c>
      <c r="E51" s="7" t="s">
        <v>224</v>
      </c>
      <c r="F51" s="7" t="s">
        <v>223</v>
      </c>
      <c r="G51" s="6">
        <v>315492219</v>
      </c>
      <c r="H51" s="6">
        <f>_xll.BDP($A51,"IPO_OFFER_PX_TO_LAST_CLOSE_%_CHG",$A$1,$A$2)</f>
        <v>-87.935649999999995</v>
      </c>
      <c r="I51" s="6">
        <f>_xll.BDP($A51,"IPO_OFFER_PX_TO_1ST_OPEN_%_CHG",$A$1,$A$2)</f>
        <v>-13.45844</v>
      </c>
      <c r="J51" s="6">
        <v>18.649999999999999</v>
      </c>
      <c r="K51" s="6">
        <v>5524900</v>
      </c>
      <c r="L51" s="7" t="s">
        <v>66</v>
      </c>
      <c r="M51" s="7" t="s">
        <v>67</v>
      </c>
      <c r="N51" s="7" t="s">
        <v>68</v>
      </c>
    </row>
    <row r="52" spans="1:14" s="4" customFormat="1" ht="13.2" x14ac:dyDescent="0.25">
      <c r="A52" s="7" t="s">
        <v>225</v>
      </c>
      <c r="B52" s="7" t="s">
        <v>226</v>
      </c>
      <c r="C52" s="7" t="s">
        <v>227</v>
      </c>
      <c r="D52" s="6">
        <v>2.02</v>
      </c>
      <c r="E52" s="7" t="s">
        <v>228</v>
      </c>
      <c r="F52" s="7" t="s">
        <v>226</v>
      </c>
      <c r="G52" s="6">
        <v>363777588.30000001</v>
      </c>
      <c r="H52" s="6">
        <f>_xll.BDP($A52,"IPO_OFFER_PX_TO_LAST_CLOSE_%_CHG",$A$1,$A$2)</f>
        <v>-42.285710000000002</v>
      </c>
      <c r="I52" s="6" t="str">
        <f>_xll.BDP($A52,"IPO_OFFER_PX_TO_1ST_OPEN_%_CHG",$A$1,$A$2)</f>
        <v>#N/A N/A</v>
      </c>
      <c r="J52" s="6">
        <v>3.5</v>
      </c>
      <c r="K52" s="6">
        <v>35715000</v>
      </c>
      <c r="L52" s="7" t="s">
        <v>21</v>
      </c>
      <c r="M52" s="7" t="s">
        <v>22</v>
      </c>
      <c r="N52" s="7" t="s">
        <v>22</v>
      </c>
    </row>
    <row r="53" spans="1:14" s="4" customFormat="1" ht="13.2" x14ac:dyDescent="0.25">
      <c r="A53" s="7" t="s">
        <v>229</v>
      </c>
      <c r="B53" s="7" t="s">
        <v>230</v>
      </c>
      <c r="C53" s="7" t="s">
        <v>231</v>
      </c>
      <c r="D53" s="6">
        <v>0.82</v>
      </c>
      <c r="E53" s="7" t="s">
        <v>232</v>
      </c>
      <c r="F53" s="7" t="s">
        <v>230</v>
      </c>
      <c r="G53" s="6">
        <v>350468.81999999995</v>
      </c>
      <c r="H53" s="6">
        <f>_xll.BDP($A53,"IPO_OFFER_PX_TO_LAST_CLOSE_%_CHG",$A$1,$A$2)</f>
        <v>-99.96584</v>
      </c>
      <c r="I53" s="6">
        <f>_xll.BDP($A53,"IPO_OFFER_PX_TO_1ST_OPEN_%_CHG",$A$1,$A$2)</f>
        <v>-25</v>
      </c>
      <c r="J53" s="6">
        <v>12</v>
      </c>
      <c r="K53" s="6">
        <v>7800000</v>
      </c>
      <c r="L53" s="7" t="s">
        <v>21</v>
      </c>
      <c r="M53" s="7" t="s">
        <v>87</v>
      </c>
      <c r="N53" s="7" t="s">
        <v>88</v>
      </c>
    </row>
    <row r="54" spans="1:14" s="4" customFormat="1" ht="13.2" x14ac:dyDescent="0.25">
      <c r="A54" s="7" t="s">
        <v>233</v>
      </c>
      <c r="B54" s="7" t="s">
        <v>234</v>
      </c>
      <c r="C54" s="7" t="s">
        <v>231</v>
      </c>
      <c r="D54" s="6">
        <v>6.82</v>
      </c>
      <c r="E54" s="7" t="s">
        <v>235</v>
      </c>
      <c r="F54" s="7" t="s">
        <v>234</v>
      </c>
      <c r="G54" s="6">
        <v>705436357.12</v>
      </c>
      <c r="H54" s="6">
        <f>_xll.BDP($A54,"IPO_OFFER_PX_TO_LAST_CLOSE_%_CHG",$A$1,$A$2)</f>
        <v>-51.285710000000002</v>
      </c>
      <c r="I54" s="6">
        <f>_xll.BDP($A54,"IPO_OFFER_PX_TO_1ST_OPEN_%_CHG",$A$1,$A$2)</f>
        <v>0.71428570000000002</v>
      </c>
      <c r="J54" s="6">
        <v>14</v>
      </c>
      <c r="K54" s="6">
        <v>5400000</v>
      </c>
      <c r="L54" s="7" t="s">
        <v>21</v>
      </c>
      <c r="M54" s="7" t="s">
        <v>22</v>
      </c>
      <c r="N54" s="7" t="s">
        <v>22</v>
      </c>
    </row>
    <row r="55" spans="1:14" s="4" customFormat="1" ht="13.2" x14ac:dyDescent="0.25">
      <c r="A55" s="7" t="s">
        <v>236</v>
      </c>
      <c r="B55" s="7" t="s">
        <v>237</v>
      </c>
      <c r="C55" s="7" t="s">
        <v>231</v>
      </c>
      <c r="D55" s="6"/>
      <c r="E55" s="7" t="s">
        <v>238</v>
      </c>
      <c r="F55" s="7" t="s">
        <v>237</v>
      </c>
      <c r="G55" s="6"/>
      <c r="H55" s="6" t="str">
        <f>_xll.BDP($A55,"IPO_OFFER_PX_TO_LAST_CLOSE_%_CHG",$A$1,$A$2)</f>
        <v>#N/A N/A</v>
      </c>
      <c r="I55" s="6">
        <f>_xll.BDP($A55,"IPO_OFFER_PX_TO_1ST_OPEN_%_CHG",$A$1,$A$2)</f>
        <v>-6.8965519999999998</v>
      </c>
      <c r="J55" s="6">
        <v>29</v>
      </c>
      <c r="K55" s="6">
        <v>14500000</v>
      </c>
      <c r="L55" s="7"/>
      <c r="M55" s="7"/>
      <c r="N55" s="7"/>
    </row>
    <row r="56" spans="1:14" s="4" customFormat="1" ht="13.2" x14ac:dyDescent="0.25">
      <c r="A56" s="7" t="s">
        <v>239</v>
      </c>
      <c r="B56" s="7" t="s">
        <v>240</v>
      </c>
      <c r="C56" s="7" t="s">
        <v>231</v>
      </c>
      <c r="D56" s="6">
        <v>1.05</v>
      </c>
      <c r="E56" s="7" t="s">
        <v>241</v>
      </c>
      <c r="F56" s="7" t="s">
        <v>240</v>
      </c>
      <c r="G56" s="6">
        <v>13443511.199999999</v>
      </c>
      <c r="H56" s="6">
        <f>_xll.BDP($A56,"IPO_OFFER_PX_TO_LAST_CLOSE_%_CHG",$A$1,$A$2)</f>
        <v>-98.95</v>
      </c>
      <c r="I56" s="6">
        <f>_xll.BDP($A56,"IPO_OFFER_PX_TO_1ST_OPEN_%_CHG",$A$1,$A$2)</f>
        <v>-18.2</v>
      </c>
      <c r="J56" s="6">
        <v>5</v>
      </c>
      <c r="K56" s="6">
        <v>3600000</v>
      </c>
      <c r="L56" s="7" t="s">
        <v>21</v>
      </c>
      <c r="M56" s="7" t="s">
        <v>62</v>
      </c>
      <c r="N56" s="7" t="s">
        <v>62</v>
      </c>
    </row>
    <row r="57" spans="1:14" s="4" customFormat="1" ht="13.2" x14ac:dyDescent="0.25">
      <c r="A57" s="7" t="s">
        <v>242</v>
      </c>
      <c r="B57" s="7" t="s">
        <v>243</v>
      </c>
      <c r="C57" s="7" t="s">
        <v>231</v>
      </c>
      <c r="D57" s="6">
        <v>6.34</v>
      </c>
      <c r="E57" s="7" t="s">
        <v>244</v>
      </c>
      <c r="F57" s="7" t="s">
        <v>243</v>
      </c>
      <c r="G57" s="6">
        <v>246122705.44</v>
      </c>
      <c r="H57" s="6">
        <f>_xll.BDP($A57,"IPO_OFFER_PX_TO_LAST_CLOSE_%_CHG",$A$1,$A$2)</f>
        <v>-68.3</v>
      </c>
      <c r="I57" s="6">
        <f>_xll.BDP($A57,"IPO_OFFER_PX_TO_1ST_OPEN_%_CHG",$A$1,$A$2)</f>
        <v>32.5</v>
      </c>
      <c r="J57" s="6">
        <v>20</v>
      </c>
      <c r="K57" s="6">
        <v>9075000</v>
      </c>
      <c r="L57" s="7" t="s">
        <v>21</v>
      </c>
      <c r="M57" s="7" t="s">
        <v>22</v>
      </c>
      <c r="N57" s="7" t="s">
        <v>22</v>
      </c>
    </row>
    <row r="58" spans="1:14" s="4" customFormat="1" ht="13.2" x14ac:dyDescent="0.25">
      <c r="A58" s="7" t="s">
        <v>245</v>
      </c>
      <c r="B58" s="7" t="s">
        <v>246</v>
      </c>
      <c r="C58" s="7" t="s">
        <v>231</v>
      </c>
      <c r="D58" s="6">
        <v>4.78</v>
      </c>
      <c r="E58" s="7" t="s">
        <v>247</v>
      </c>
      <c r="F58" s="7" t="s">
        <v>246</v>
      </c>
      <c r="G58" s="6">
        <v>337208355.18000001</v>
      </c>
      <c r="H58" s="6">
        <f>_xll.BDP($A58,"IPO_OFFER_PX_TO_LAST_CLOSE_%_CHG",$A$1,$A$2)</f>
        <v>-56.545450000000002</v>
      </c>
      <c r="I58" s="6">
        <f>_xll.BDP($A58,"IPO_OFFER_PX_TO_1ST_OPEN_%_CHG",$A$1,$A$2)</f>
        <v>16.727270000000001</v>
      </c>
      <c r="J58" s="6">
        <v>11</v>
      </c>
      <c r="K58" s="6">
        <v>7000000</v>
      </c>
      <c r="L58" s="7" t="s">
        <v>21</v>
      </c>
      <c r="M58" s="7" t="s">
        <v>248</v>
      </c>
      <c r="N58" s="7" t="s">
        <v>249</v>
      </c>
    </row>
    <row r="59" spans="1:14" s="4" customFormat="1" ht="13.2" x14ac:dyDescent="0.25">
      <c r="A59" s="7" t="s">
        <v>250</v>
      </c>
      <c r="B59" s="7" t="s">
        <v>251</v>
      </c>
      <c r="C59" s="7" t="s">
        <v>231</v>
      </c>
      <c r="D59" s="6"/>
      <c r="E59" s="7" t="s">
        <v>252</v>
      </c>
      <c r="F59" s="7" t="s">
        <v>251</v>
      </c>
      <c r="G59" s="6"/>
      <c r="H59" s="6" t="str">
        <f>_xll.BDP($A59,"IPO_OFFER_PX_TO_LAST_CLOSE_%_CHG",$A$1,$A$2)</f>
        <v>#N/A N/A</v>
      </c>
      <c r="I59" s="6">
        <f>_xll.BDP($A59,"IPO_OFFER_PX_TO_1ST_OPEN_%_CHG",$A$1,$A$2)</f>
        <v>-5.2631579999999998</v>
      </c>
      <c r="J59" s="6">
        <v>19</v>
      </c>
      <c r="K59" s="6">
        <v>22222200</v>
      </c>
      <c r="L59" s="7"/>
      <c r="M59" s="7"/>
      <c r="N59" s="7"/>
    </row>
    <row r="60" spans="1:14" s="4" customFormat="1" ht="13.2" x14ac:dyDescent="0.25">
      <c r="A60" s="7" t="s">
        <v>253</v>
      </c>
      <c r="B60" s="7" t="s">
        <v>254</v>
      </c>
      <c r="C60" s="7" t="s">
        <v>255</v>
      </c>
      <c r="D60" s="6">
        <v>56.81</v>
      </c>
      <c r="E60" s="7" t="s">
        <v>256</v>
      </c>
      <c r="F60" s="7" t="s">
        <v>254</v>
      </c>
      <c r="G60" s="6">
        <v>31171694322.73</v>
      </c>
      <c r="H60" s="6">
        <f>_xll.BDP($A60,"IPO_OFFER_PX_TO_LAST_CLOSE_%_CHG",$A$1,$A$2)</f>
        <v>20.872340000000001</v>
      </c>
      <c r="I60" s="6">
        <f>_xll.BDP($A60,"IPO_OFFER_PX_TO_1ST_OPEN_%_CHG",$A$1,$A$2)</f>
        <v>0</v>
      </c>
      <c r="J60" s="6">
        <v>47</v>
      </c>
      <c r="K60" s="6">
        <v>55000000</v>
      </c>
      <c r="L60" s="7" t="s">
        <v>40</v>
      </c>
      <c r="M60" s="7" t="s">
        <v>257</v>
      </c>
      <c r="N60" s="7" t="s">
        <v>258</v>
      </c>
    </row>
    <row r="61" spans="1:14" s="4" customFormat="1" ht="13.2" x14ac:dyDescent="0.25">
      <c r="A61" s="7" t="s">
        <v>259</v>
      </c>
      <c r="B61" s="7" t="s">
        <v>260</v>
      </c>
      <c r="C61" s="7" t="s">
        <v>255</v>
      </c>
      <c r="D61" s="6">
        <v>23.46</v>
      </c>
      <c r="E61" s="7" t="s">
        <v>261</v>
      </c>
      <c r="F61" s="7" t="s">
        <v>260</v>
      </c>
      <c r="G61" s="6">
        <v>5458015990.3799992</v>
      </c>
      <c r="H61" s="6">
        <f>_xll.BDP($A61,"IPO_OFFER_PX_TO_LAST_CLOSE_%_CHG",$A$1,$A$2)</f>
        <v>-10.286809999999999</v>
      </c>
      <c r="I61" s="6">
        <f>_xll.BDP($A61,"IPO_OFFER_PX_TO_1ST_OPEN_%_CHG",$A$1,$A$2)</f>
        <v>0</v>
      </c>
      <c r="J61" s="6">
        <v>26.15</v>
      </c>
      <c r="K61" s="6">
        <v>9180000</v>
      </c>
      <c r="L61" s="7" t="s">
        <v>66</v>
      </c>
      <c r="M61" s="7" t="s">
        <v>116</v>
      </c>
      <c r="N61" s="7" t="s">
        <v>117</v>
      </c>
    </row>
    <row r="62" spans="1:14" s="4" customFormat="1" ht="13.2" x14ac:dyDescent="0.25">
      <c r="A62" s="7" t="s">
        <v>262</v>
      </c>
      <c r="B62" s="7" t="s">
        <v>263</v>
      </c>
      <c r="C62" s="7" t="s">
        <v>255</v>
      </c>
      <c r="D62" s="6">
        <v>14.28</v>
      </c>
      <c r="E62" s="7" t="s">
        <v>264</v>
      </c>
      <c r="F62" s="7" t="s">
        <v>263</v>
      </c>
      <c r="G62" s="6">
        <v>2756521107.48</v>
      </c>
      <c r="H62" s="6">
        <f>_xll.BDP($A62,"IPO_OFFER_PX_TO_LAST_CLOSE_%_CHG",$A$1,$A$2)</f>
        <v>-49</v>
      </c>
      <c r="I62" s="6">
        <f>_xll.BDP($A62,"IPO_OFFER_PX_TO_1ST_OPEN_%_CHG",$A$1,$A$2)</f>
        <v>19.642859999999999</v>
      </c>
      <c r="J62" s="6">
        <v>28</v>
      </c>
      <c r="K62" s="6">
        <v>31000000</v>
      </c>
      <c r="L62" s="7" t="s">
        <v>33</v>
      </c>
      <c r="M62" s="7" t="s">
        <v>265</v>
      </c>
      <c r="N62" s="7" t="s">
        <v>266</v>
      </c>
    </row>
    <row r="63" spans="1:14" s="4" customFormat="1" ht="13.2" x14ac:dyDescent="0.25">
      <c r="A63" s="7" t="s">
        <v>267</v>
      </c>
      <c r="B63" s="7" t="s">
        <v>268</v>
      </c>
      <c r="C63" s="7" t="s">
        <v>255</v>
      </c>
      <c r="D63" s="6">
        <v>4.1358059999999996</v>
      </c>
      <c r="E63" s="7" t="s">
        <v>269</v>
      </c>
      <c r="F63" s="7" t="s">
        <v>268</v>
      </c>
      <c r="G63" s="6">
        <v>13372313.947217997</v>
      </c>
      <c r="H63" s="6">
        <f>_xll.BDP($A63,"IPO_OFFER_PX_TO_LAST_CLOSE_%_CHG",$A$1,$A$2)</f>
        <v>-99.39179</v>
      </c>
      <c r="I63" s="6">
        <f>_xll.BDP($A63,"IPO_OFFER_PX_TO_1ST_OPEN_%_CHG",$A$1,$A$2)</f>
        <v>31.529409999999999</v>
      </c>
      <c r="J63" s="6">
        <v>17</v>
      </c>
      <c r="K63" s="6">
        <v>12903200</v>
      </c>
      <c r="L63" s="7" t="s">
        <v>102</v>
      </c>
      <c r="M63" s="7" t="s">
        <v>270</v>
      </c>
      <c r="N63" s="7" t="s">
        <v>270</v>
      </c>
    </row>
    <row r="64" spans="1:14" s="4" customFormat="1" ht="13.2" x14ac:dyDescent="0.25">
      <c r="A64" s="7" t="s">
        <v>271</v>
      </c>
      <c r="B64" s="7" t="s">
        <v>272</v>
      </c>
      <c r="C64" s="7" t="s">
        <v>273</v>
      </c>
      <c r="D64" s="6">
        <v>30.68</v>
      </c>
      <c r="E64" s="7" t="s">
        <v>274</v>
      </c>
      <c r="F64" s="7" t="s">
        <v>272</v>
      </c>
      <c r="G64" s="6">
        <v>1416556407.76</v>
      </c>
      <c r="H64" s="6">
        <f>_xll.BDP($A64,"IPO_OFFER_PX_TO_LAST_CLOSE_%_CHG",$A$1,$A$2)</f>
        <v>119.1429</v>
      </c>
      <c r="I64" s="6">
        <f>_xll.BDP($A64,"IPO_OFFER_PX_TO_1ST_OPEN_%_CHG",$A$1,$A$2)</f>
        <v>17.928570000000001</v>
      </c>
      <c r="J64" s="6">
        <v>14</v>
      </c>
      <c r="K64" s="6">
        <v>5000000</v>
      </c>
      <c r="L64" s="7" t="s">
        <v>40</v>
      </c>
      <c r="M64" s="7" t="s">
        <v>41</v>
      </c>
      <c r="N64" s="7" t="s">
        <v>275</v>
      </c>
    </row>
    <row r="65" spans="1:14" s="4" customFormat="1" ht="13.2" x14ac:dyDescent="0.25">
      <c r="A65" s="7" t="s">
        <v>276</v>
      </c>
      <c r="B65" s="7" t="s">
        <v>277</v>
      </c>
      <c r="C65" s="7" t="s">
        <v>273</v>
      </c>
      <c r="D65" s="6">
        <v>3.09</v>
      </c>
      <c r="E65" s="7" t="s">
        <v>278</v>
      </c>
      <c r="F65" s="7" t="s">
        <v>277</v>
      </c>
      <c r="G65" s="6">
        <v>103782065.60999997</v>
      </c>
      <c r="H65" s="6">
        <f>_xll.BDP($A65,"IPO_OFFER_PX_TO_LAST_CLOSE_%_CHG",$A$1,$A$2)</f>
        <v>-99.264279999999999</v>
      </c>
      <c r="I65" s="6">
        <f>_xll.BDP($A65,"IPO_OFFER_PX_TO_1ST_OPEN_%_CHG",$A$1,$A$2)</f>
        <v>9.523809</v>
      </c>
      <c r="J65" s="6">
        <v>21</v>
      </c>
      <c r="K65" s="6">
        <v>17000000</v>
      </c>
      <c r="L65" s="7" t="s">
        <v>102</v>
      </c>
      <c r="M65" s="7" t="s">
        <v>153</v>
      </c>
      <c r="N65" s="7" t="s">
        <v>279</v>
      </c>
    </row>
    <row r="66" spans="1:14" s="4" customFormat="1" ht="13.2" x14ac:dyDescent="0.25">
      <c r="A66" s="7" t="s">
        <v>280</v>
      </c>
      <c r="B66" s="7" t="s">
        <v>281</v>
      </c>
      <c r="C66" s="7" t="s">
        <v>273</v>
      </c>
      <c r="D66" s="6">
        <v>15.5</v>
      </c>
      <c r="E66" s="7" t="s">
        <v>282</v>
      </c>
      <c r="F66" s="7" t="s">
        <v>281</v>
      </c>
      <c r="G66" s="6"/>
      <c r="H66" s="6">
        <f>_xll.BDP($A66,"IPO_OFFER_PX_TO_LAST_CLOSE_%_CHG",$A$1,$A$2)</f>
        <v>-22.5</v>
      </c>
      <c r="I66" s="6">
        <f>_xll.BDP($A66,"IPO_OFFER_PX_TO_1ST_OPEN_%_CHG",$A$1,$A$2)</f>
        <v>0</v>
      </c>
      <c r="J66" s="6">
        <v>20</v>
      </c>
      <c r="K66" s="6">
        <v>50000000</v>
      </c>
      <c r="L66" s="7"/>
      <c r="M66" s="7"/>
      <c r="N66" s="7"/>
    </row>
    <row r="67" spans="1:14" s="4" customFormat="1" ht="13.2" x14ac:dyDescent="0.25">
      <c r="A67" s="7" t="s">
        <v>283</v>
      </c>
      <c r="B67" s="7" t="s">
        <v>284</v>
      </c>
      <c r="C67" s="7" t="s">
        <v>273</v>
      </c>
      <c r="D67" s="6">
        <v>2.25</v>
      </c>
      <c r="E67" s="7" t="s">
        <v>285</v>
      </c>
      <c r="F67" s="7" t="s">
        <v>284</v>
      </c>
      <c r="G67" s="6">
        <v>56908500.749999993</v>
      </c>
      <c r="H67" s="6">
        <f>_xll.BDP($A67,"IPO_OFFER_PX_TO_LAST_CLOSE_%_CHG",$A$1,$A$2)</f>
        <v>-85.9375</v>
      </c>
      <c r="I67" s="6">
        <f>_xll.BDP($A67,"IPO_OFFER_PX_TO_1ST_OPEN_%_CHG",$A$1,$A$2)</f>
        <v>9.5</v>
      </c>
      <c r="J67" s="6">
        <v>4</v>
      </c>
      <c r="K67" s="6">
        <v>6250000</v>
      </c>
      <c r="L67" s="7" t="s">
        <v>66</v>
      </c>
      <c r="M67" s="7" t="s">
        <v>286</v>
      </c>
      <c r="N67" s="7" t="s">
        <v>287</v>
      </c>
    </row>
    <row r="68" spans="1:14" s="4" customFormat="1" ht="13.2" x14ac:dyDescent="0.25">
      <c r="A68" s="7" t="s">
        <v>288</v>
      </c>
      <c r="B68" s="7" t="s">
        <v>289</v>
      </c>
      <c r="C68" s="7" t="s">
        <v>273</v>
      </c>
      <c r="D68" s="6"/>
      <c r="E68" s="7" t="s">
        <v>290</v>
      </c>
      <c r="F68" s="7" t="s">
        <v>289</v>
      </c>
      <c r="G68" s="6"/>
      <c r="H68" s="6" t="str">
        <f>_xll.BDP($A68,"IPO_OFFER_PX_TO_LAST_CLOSE_%_CHG",$A$1,$A$2)</f>
        <v>#N/A N/A</v>
      </c>
      <c r="I68" s="6">
        <f>_xll.BDP($A68,"IPO_OFFER_PX_TO_1ST_OPEN_%_CHG",$A$1,$A$2)</f>
        <v>-5</v>
      </c>
      <c r="J68" s="6">
        <v>29</v>
      </c>
      <c r="K68" s="6">
        <v>29000000</v>
      </c>
      <c r="L68" s="7"/>
      <c r="M68" s="7"/>
      <c r="N68" s="7"/>
    </row>
    <row r="69" spans="1:14" s="4" customFormat="1" ht="13.2" x14ac:dyDescent="0.25">
      <c r="A69" s="7" t="s">
        <v>291</v>
      </c>
      <c r="B69" s="7" t="s">
        <v>292</v>
      </c>
      <c r="C69" s="7" t="s">
        <v>273</v>
      </c>
      <c r="D69" s="6"/>
      <c r="E69" s="7" t="s">
        <v>293</v>
      </c>
      <c r="F69" s="7" t="s">
        <v>292</v>
      </c>
      <c r="G69" s="6"/>
      <c r="H69" s="6" t="str">
        <f>_xll.BDP($A69,"IPO_OFFER_PX_TO_LAST_CLOSE_%_CHG",$A$1,$A$2)</f>
        <v>#N/A N/A</v>
      </c>
      <c r="I69" s="6">
        <f>_xll.BDP($A69,"IPO_OFFER_PX_TO_1ST_OPEN_%_CHG",$A$1,$A$2)</f>
        <v>-0.3</v>
      </c>
      <c r="J69" s="6">
        <v>10</v>
      </c>
      <c r="K69" s="6">
        <v>11000000</v>
      </c>
      <c r="L69" s="7"/>
      <c r="M69" s="7"/>
      <c r="N69" s="7"/>
    </row>
    <row r="70" spans="1:14" s="4" customFormat="1" ht="13.2" x14ac:dyDescent="0.25">
      <c r="A70" s="7" t="s">
        <v>294</v>
      </c>
      <c r="B70" s="7" t="s">
        <v>295</v>
      </c>
      <c r="C70" s="7" t="s">
        <v>296</v>
      </c>
      <c r="D70" s="6"/>
      <c r="E70" s="7" t="s">
        <v>297</v>
      </c>
      <c r="F70" s="7" t="s">
        <v>295</v>
      </c>
      <c r="G70" s="6"/>
      <c r="H70" s="6" t="str">
        <f>_xll.BDP($A70,"IPO_OFFER_PX_TO_LAST_CLOSE_%_CHG",$A$1,$A$2)</f>
        <v>#N/A N/A</v>
      </c>
      <c r="I70" s="6" t="str">
        <f>_xll.BDP($A70,"IPO_OFFER_PX_TO_1ST_OPEN_%_CHG",$A$1,$A$2)</f>
        <v>#N/A N/A</v>
      </c>
      <c r="J70" s="6">
        <v>4</v>
      </c>
      <c r="K70" s="6">
        <v>10000000</v>
      </c>
      <c r="L70" s="7"/>
      <c r="M70" s="7"/>
      <c r="N70" s="7"/>
    </row>
    <row r="71" spans="1:14" s="4" customFormat="1" ht="13.2" x14ac:dyDescent="0.25">
      <c r="A71" s="7" t="s">
        <v>298</v>
      </c>
      <c r="B71" s="7" t="s">
        <v>299</v>
      </c>
      <c r="C71" s="7" t="s">
        <v>296</v>
      </c>
      <c r="D71" s="6">
        <v>1.3450000286102295</v>
      </c>
      <c r="E71" s="7" t="s">
        <v>300</v>
      </c>
      <c r="F71" s="7" t="s">
        <v>299</v>
      </c>
      <c r="G71" s="6">
        <v>3978528836.6194577</v>
      </c>
      <c r="H71" s="6">
        <f>_xll.BDP($A71,"IPO_OFFER_PX_TO_LAST_CLOSE_%_CHG",$A$1,$A$2)</f>
        <v>-32.75</v>
      </c>
      <c r="I71" s="6">
        <f>_xll.BDP($A71,"IPO_OFFER_PX_TO_1ST_OPEN_%_CHG",$A$1,$A$2)</f>
        <v>5.5</v>
      </c>
      <c r="J71" s="6">
        <v>2</v>
      </c>
      <c r="K71" s="6">
        <v>593500000</v>
      </c>
      <c r="L71" s="7" t="s">
        <v>66</v>
      </c>
      <c r="M71" s="7" t="s">
        <v>116</v>
      </c>
      <c r="N71" s="7" t="s">
        <v>117</v>
      </c>
    </row>
    <row r="72" spans="1:14" s="4" customFormat="1" ht="13.2" x14ac:dyDescent="0.25">
      <c r="A72" s="7" t="s">
        <v>301</v>
      </c>
      <c r="B72" s="7" t="s">
        <v>302</v>
      </c>
      <c r="C72" s="7" t="s">
        <v>303</v>
      </c>
      <c r="D72" s="6"/>
      <c r="E72" s="7" t="s">
        <v>304</v>
      </c>
      <c r="F72" s="7" t="s">
        <v>302</v>
      </c>
      <c r="G72" s="6"/>
      <c r="H72" s="6" t="str">
        <f>_xll.BDP($A72,"IPO_OFFER_PX_TO_LAST_CLOSE_%_CHG",$A$1,$A$2)</f>
        <v>#N/A N/A</v>
      </c>
      <c r="I72" s="6">
        <f>_xll.BDP($A72,"IPO_OFFER_PX_TO_1ST_OPEN_%_CHG",$A$1,$A$2)</f>
        <v>-19.5</v>
      </c>
      <c r="J72" s="6">
        <v>12</v>
      </c>
      <c r="K72" s="6">
        <v>6250000</v>
      </c>
      <c r="L72" s="7" t="s">
        <v>21</v>
      </c>
      <c r="M72" s="7" t="s">
        <v>87</v>
      </c>
      <c r="N72" s="7" t="s">
        <v>88</v>
      </c>
    </row>
    <row r="73" spans="1:14" s="4" customFormat="1" ht="13.2" x14ac:dyDescent="0.25">
      <c r="A73" s="7" t="s">
        <v>305</v>
      </c>
      <c r="B73" s="7" t="s">
        <v>306</v>
      </c>
      <c r="C73" s="7" t="s">
        <v>303</v>
      </c>
      <c r="D73" s="6">
        <v>8.57</v>
      </c>
      <c r="E73" s="7" t="s">
        <v>307</v>
      </c>
      <c r="F73" s="7" t="s">
        <v>306</v>
      </c>
      <c r="G73" s="6">
        <v>51272930.229999989</v>
      </c>
      <c r="H73" s="6">
        <f>_xll.BDP($A73,"IPO_OFFER_PX_TO_LAST_CLOSE_%_CHG",$A$1,$A$2)</f>
        <v>-96.174090000000007</v>
      </c>
      <c r="I73" s="6">
        <f>_xll.BDP($A73,"IPO_OFFER_PX_TO_1ST_OPEN_%_CHG",$A$1,$A$2)</f>
        <v>-6.25</v>
      </c>
      <c r="J73" s="6">
        <v>16</v>
      </c>
      <c r="K73" s="6">
        <v>7353000</v>
      </c>
      <c r="L73" s="7" t="s">
        <v>21</v>
      </c>
      <c r="M73" s="7" t="s">
        <v>22</v>
      </c>
      <c r="N73" s="7" t="s">
        <v>22</v>
      </c>
    </row>
    <row r="74" spans="1:14" s="4" customFormat="1" ht="13.2" x14ac:dyDescent="0.25">
      <c r="A74" s="7" t="s">
        <v>308</v>
      </c>
      <c r="B74" s="7" t="s">
        <v>309</v>
      </c>
      <c r="C74" s="7" t="s">
        <v>303</v>
      </c>
      <c r="D74" s="6"/>
      <c r="E74" s="7" t="s">
        <v>310</v>
      </c>
      <c r="F74" s="7" t="s">
        <v>309</v>
      </c>
      <c r="G74" s="6"/>
      <c r="H74" s="6" t="str">
        <f>_xll.BDP($A74,"IPO_OFFER_PX_TO_LAST_CLOSE_%_CHG",$A$1,$A$2)</f>
        <v>#N/A N/A</v>
      </c>
      <c r="I74" s="6">
        <f>_xll.BDP($A74,"IPO_OFFER_PX_TO_1ST_OPEN_%_CHG",$A$1,$A$2)</f>
        <v>21.923079999999999</v>
      </c>
      <c r="J74" s="6">
        <v>13</v>
      </c>
      <c r="K74" s="6">
        <v>17650000</v>
      </c>
      <c r="L74" s="7"/>
      <c r="M74" s="7"/>
      <c r="N74" s="7"/>
    </row>
    <row r="75" spans="1:14" s="4" customFormat="1" ht="13.2" x14ac:dyDescent="0.25">
      <c r="A75" s="7" t="s">
        <v>311</v>
      </c>
      <c r="B75" s="7" t="s">
        <v>312</v>
      </c>
      <c r="C75" s="7" t="s">
        <v>313</v>
      </c>
      <c r="D75" s="6"/>
      <c r="E75" s="7" t="s">
        <v>314</v>
      </c>
      <c r="F75" s="7" t="s">
        <v>312</v>
      </c>
      <c r="G75" s="6"/>
      <c r="H75" s="6" t="str">
        <f>_xll.BDP($A75,"IPO_OFFER_PX_TO_LAST_CLOSE_%_CHG",$A$1,$A$2)</f>
        <v>#N/A N/A</v>
      </c>
      <c r="I75" s="6" t="str">
        <f>_xll.BDP($A75,"IPO_OFFER_PX_TO_1ST_OPEN_%_CHG",$A$1,$A$2)</f>
        <v>#N/A N/A</v>
      </c>
      <c r="J75" s="6"/>
      <c r="K75" s="6">
        <v>6000000</v>
      </c>
      <c r="L75" s="7"/>
      <c r="M75" s="7"/>
      <c r="N75" s="7"/>
    </row>
    <row r="76" spans="1:14" s="4" customFormat="1" ht="13.2" x14ac:dyDescent="0.25">
      <c r="A76" s="7" t="s">
        <v>315</v>
      </c>
      <c r="B76" s="7" t="s">
        <v>316</v>
      </c>
      <c r="C76" s="7" t="s">
        <v>313</v>
      </c>
      <c r="D76" s="6"/>
      <c r="E76" s="7" t="s">
        <v>317</v>
      </c>
      <c r="F76" s="7" t="s">
        <v>316</v>
      </c>
      <c r="G76" s="6"/>
      <c r="H76" s="6" t="str">
        <f>_xll.BDP($A76,"IPO_OFFER_PX_TO_LAST_CLOSE_%_CHG",$A$1,$A$2)</f>
        <v>#N/A N/A</v>
      </c>
      <c r="I76" s="6">
        <f>_xll.BDP($A76,"IPO_OFFER_PX_TO_1ST_OPEN_%_CHG",$A$1,$A$2)</f>
        <v>16.5625</v>
      </c>
      <c r="J76" s="6">
        <v>16</v>
      </c>
      <c r="K76" s="6">
        <v>9472700</v>
      </c>
      <c r="L76" s="7"/>
      <c r="M76" s="7"/>
      <c r="N76" s="7"/>
    </row>
    <row r="77" spans="1:14" s="4" customFormat="1" ht="13.2" x14ac:dyDescent="0.25">
      <c r="A77" s="7" t="s">
        <v>318</v>
      </c>
      <c r="B77" s="7" t="s">
        <v>319</v>
      </c>
      <c r="C77" s="7" t="s">
        <v>313</v>
      </c>
      <c r="D77" s="6"/>
      <c r="E77" s="7" t="s">
        <v>320</v>
      </c>
      <c r="F77" s="7" t="s">
        <v>319</v>
      </c>
      <c r="G77" s="6"/>
      <c r="H77" s="6" t="str">
        <f>_xll.BDP($A77,"IPO_OFFER_PX_TO_LAST_CLOSE_%_CHG",$A$1,$A$2)</f>
        <v>#N/A N/A</v>
      </c>
      <c r="I77" s="6">
        <f>_xll.BDP($A77,"IPO_OFFER_PX_TO_1ST_OPEN_%_CHG",$A$1,$A$2)</f>
        <v>17.64706</v>
      </c>
      <c r="J77" s="6">
        <v>17</v>
      </c>
      <c r="K77" s="6">
        <v>18750000</v>
      </c>
      <c r="L77" s="7"/>
      <c r="M77" s="7"/>
      <c r="N77" s="7"/>
    </row>
    <row r="78" spans="1:14" s="4" customFormat="1" ht="13.2" x14ac:dyDescent="0.25">
      <c r="A78" s="7" t="s">
        <v>321</v>
      </c>
      <c r="B78" s="7" t="s">
        <v>322</v>
      </c>
      <c r="C78" s="7" t="s">
        <v>313</v>
      </c>
      <c r="D78" s="6">
        <v>8.58</v>
      </c>
      <c r="E78" s="7" t="s">
        <v>323</v>
      </c>
      <c r="F78" s="7" t="s">
        <v>322</v>
      </c>
      <c r="G78" s="6">
        <v>944310595.79999995</v>
      </c>
      <c r="H78" s="6">
        <f>_xll.BDP($A78,"IPO_OFFER_PX_TO_LAST_CLOSE_%_CHG",$A$1,$A$2)</f>
        <v>-28.5</v>
      </c>
      <c r="I78" s="6">
        <f>_xll.BDP($A78,"IPO_OFFER_PX_TO_1ST_OPEN_%_CHG",$A$1,$A$2)</f>
        <v>0.1666667</v>
      </c>
      <c r="J78" s="6">
        <v>12</v>
      </c>
      <c r="K78" s="6">
        <v>20000000</v>
      </c>
      <c r="L78" s="7" t="s">
        <v>66</v>
      </c>
      <c r="M78" s="7" t="s">
        <v>116</v>
      </c>
      <c r="N78" s="7" t="s">
        <v>117</v>
      </c>
    </row>
    <row r="79" spans="1:14" s="4" customFormat="1" ht="13.2" x14ac:dyDescent="0.25">
      <c r="A79" s="7" t="s">
        <v>324</v>
      </c>
      <c r="B79" s="7" t="s">
        <v>325</v>
      </c>
      <c r="C79" s="7" t="s">
        <v>313</v>
      </c>
      <c r="D79" s="6">
        <v>73.87</v>
      </c>
      <c r="E79" s="7" t="s">
        <v>326</v>
      </c>
      <c r="F79" s="7" t="s">
        <v>325</v>
      </c>
      <c r="G79" s="6">
        <v>4218910938.4100003</v>
      </c>
      <c r="H79" s="6">
        <f>_xll.BDP($A79,"IPO_OFFER_PX_TO_LAST_CLOSE_%_CHG",$A$1,$A$2)</f>
        <v>392.4667</v>
      </c>
      <c r="I79" s="6">
        <f>_xll.BDP($A79,"IPO_OFFER_PX_TO_1ST_OPEN_%_CHG",$A$1,$A$2)</f>
        <v>2.4666670000000002</v>
      </c>
      <c r="J79" s="6">
        <v>15</v>
      </c>
      <c r="K79" s="6">
        <v>11500000</v>
      </c>
      <c r="L79" s="7" t="s">
        <v>47</v>
      </c>
      <c r="M79" s="7" t="s">
        <v>48</v>
      </c>
      <c r="N79" s="7" t="s">
        <v>327</v>
      </c>
    </row>
    <row r="80" spans="1:14" s="4" customFormat="1" ht="13.2" x14ac:dyDescent="0.25">
      <c r="A80" s="7" t="s">
        <v>328</v>
      </c>
      <c r="B80" s="7" t="s">
        <v>329</v>
      </c>
      <c r="C80" s="7" t="s">
        <v>313</v>
      </c>
      <c r="D80" s="6">
        <v>5.64</v>
      </c>
      <c r="E80" s="7" t="s">
        <v>330</v>
      </c>
      <c r="F80" s="7" t="s">
        <v>329</v>
      </c>
      <c r="G80" s="6">
        <v>239500039.43999997</v>
      </c>
      <c r="H80" s="6">
        <f>_xll.BDP($A80,"IPO_OFFER_PX_TO_LAST_CLOSE_%_CHG",$A$1,$A$2)</f>
        <v>-61.369869999999999</v>
      </c>
      <c r="I80" s="6">
        <f>_xll.BDP($A80,"IPO_OFFER_PX_TO_1ST_OPEN_%_CHG",$A$1,$A$2)</f>
        <v>-11.9863</v>
      </c>
      <c r="J80" s="6">
        <v>14.6</v>
      </c>
      <c r="K80" s="6">
        <v>6850000</v>
      </c>
      <c r="L80" s="7" t="s">
        <v>66</v>
      </c>
      <c r="M80" s="7" t="s">
        <v>116</v>
      </c>
      <c r="N80" s="7" t="s">
        <v>117</v>
      </c>
    </row>
    <row r="81" spans="1:14" s="4" customFormat="1" ht="13.2" x14ac:dyDescent="0.25">
      <c r="A81" s="7" t="s">
        <v>331</v>
      </c>
      <c r="B81" s="7" t="s">
        <v>332</v>
      </c>
      <c r="C81" s="7" t="s">
        <v>313</v>
      </c>
      <c r="D81" s="6">
        <v>4.5599999999999996</v>
      </c>
      <c r="E81" s="7" t="s">
        <v>333</v>
      </c>
      <c r="F81" s="7" t="s">
        <v>332</v>
      </c>
      <c r="G81" s="6">
        <v>345673098.24000001</v>
      </c>
      <c r="H81" s="6">
        <f>_xll.BDP($A81,"IPO_OFFER_PX_TO_LAST_CLOSE_%_CHG",$A$1,$A$2)</f>
        <v>-77.2</v>
      </c>
      <c r="I81" s="6">
        <f>_xll.BDP($A81,"IPO_OFFER_PX_TO_1ST_OPEN_%_CHG",$A$1,$A$2)</f>
        <v>30</v>
      </c>
      <c r="J81" s="6">
        <v>20</v>
      </c>
      <c r="K81" s="6">
        <v>20270300</v>
      </c>
      <c r="L81" s="7" t="s">
        <v>102</v>
      </c>
      <c r="M81" s="7" t="s">
        <v>103</v>
      </c>
      <c r="N81" s="7" t="s">
        <v>104</v>
      </c>
    </row>
    <row r="82" spans="1:14" s="4" customFormat="1" ht="13.2" x14ac:dyDescent="0.25">
      <c r="A82" s="7" t="s">
        <v>334</v>
      </c>
      <c r="B82" s="7" t="s">
        <v>335</v>
      </c>
      <c r="C82" s="7" t="s">
        <v>336</v>
      </c>
      <c r="D82" s="6"/>
      <c r="E82" s="7" t="s">
        <v>337</v>
      </c>
      <c r="F82" s="7" t="s">
        <v>335</v>
      </c>
      <c r="G82" s="6"/>
      <c r="H82" s="6" t="str">
        <f>_xll.BDP($A82,"IPO_OFFER_PX_TO_LAST_CLOSE_%_CHG",$A$1,$A$2)</f>
        <v>#N/A N/A</v>
      </c>
      <c r="I82" s="6">
        <f>_xll.BDP($A82,"IPO_OFFER_PX_TO_1ST_OPEN_%_CHG",$A$1,$A$2)</f>
        <v>42.105260000000001</v>
      </c>
      <c r="J82" s="6">
        <v>19</v>
      </c>
      <c r="K82" s="6">
        <v>6687300</v>
      </c>
      <c r="L82" s="7"/>
      <c r="M82" s="7"/>
      <c r="N82" s="7"/>
    </row>
    <row r="83" spans="1:14" s="4" customFormat="1" ht="13.2" x14ac:dyDescent="0.25">
      <c r="A83" s="7" t="s">
        <v>338</v>
      </c>
      <c r="B83" s="7" t="s">
        <v>339</v>
      </c>
      <c r="C83" s="7" t="s">
        <v>336</v>
      </c>
      <c r="D83" s="6">
        <v>0.61599999999999999</v>
      </c>
      <c r="E83" s="7" t="s">
        <v>340</v>
      </c>
      <c r="F83" s="7" t="s">
        <v>339</v>
      </c>
      <c r="G83" s="6">
        <v>56597573.031999998</v>
      </c>
      <c r="H83" s="6">
        <f>_xll.BDP($A83,"IPO_OFFER_PX_TO_LAST_CLOSE_%_CHG",$A$1,$A$2)</f>
        <v>-87.68</v>
      </c>
      <c r="I83" s="6">
        <f>_xll.BDP($A83,"IPO_OFFER_PX_TO_1ST_OPEN_%_CHG",$A$1,$A$2)</f>
        <v>-11.2</v>
      </c>
      <c r="J83" s="6">
        <v>5</v>
      </c>
      <c r="K83" s="6">
        <v>5000000</v>
      </c>
      <c r="L83" s="7" t="s">
        <v>21</v>
      </c>
      <c r="M83" s="7" t="s">
        <v>62</v>
      </c>
      <c r="N83" s="7" t="s">
        <v>62</v>
      </c>
    </row>
    <row r="84" spans="1:14" s="4" customFormat="1" ht="13.2" x14ac:dyDescent="0.25">
      <c r="A84" s="7" t="s">
        <v>341</v>
      </c>
      <c r="B84" s="7" t="s">
        <v>342</v>
      </c>
      <c r="C84" s="7" t="s">
        <v>336</v>
      </c>
      <c r="D84" s="6">
        <v>1.1399999999999999</v>
      </c>
      <c r="E84" s="7" t="s">
        <v>343</v>
      </c>
      <c r="F84" s="7" t="s">
        <v>342</v>
      </c>
      <c r="G84" s="6">
        <v>16442540.339999998</v>
      </c>
      <c r="H84" s="6">
        <f>_xll.BDP($A84,"IPO_OFFER_PX_TO_LAST_CLOSE_%_CHG",$A$1,$A$2)</f>
        <v>-99.998890000000003</v>
      </c>
      <c r="I84" s="6">
        <f>_xll.BDP($A84,"IPO_OFFER_PX_TO_1ST_OPEN_%_CHG",$A$1,$A$2)</f>
        <v>6.8</v>
      </c>
      <c r="J84" s="6">
        <v>7.5</v>
      </c>
      <c r="K84" s="6">
        <v>3500000</v>
      </c>
      <c r="L84" s="7" t="s">
        <v>40</v>
      </c>
      <c r="M84" s="7" t="s">
        <v>41</v>
      </c>
      <c r="N84" s="7" t="s">
        <v>42</v>
      </c>
    </row>
    <row r="85" spans="1:14" s="4" customFormat="1" ht="13.2" x14ac:dyDescent="0.25">
      <c r="A85" s="7" t="s">
        <v>344</v>
      </c>
      <c r="B85" s="7" t="s">
        <v>345</v>
      </c>
      <c r="C85" s="7" t="s">
        <v>346</v>
      </c>
      <c r="D85" s="6"/>
      <c r="E85" s="7" t="s">
        <v>347</v>
      </c>
      <c r="F85" s="7" t="s">
        <v>345</v>
      </c>
      <c r="G85" s="6"/>
      <c r="H85" s="6" t="str">
        <f>_xll.BDP($A85,"IPO_OFFER_PX_TO_LAST_CLOSE_%_CHG",$A$1,$A$2)</f>
        <v>#N/A N/A</v>
      </c>
      <c r="I85" s="6">
        <f>_xll.BDP($A85,"IPO_OFFER_PX_TO_1ST_OPEN_%_CHG",$A$1,$A$2)</f>
        <v>19.6875</v>
      </c>
      <c r="J85" s="6">
        <v>16</v>
      </c>
      <c r="K85" s="6">
        <v>7812500</v>
      </c>
      <c r="L85" s="7"/>
      <c r="M85" s="7"/>
      <c r="N85" s="7"/>
    </row>
    <row r="86" spans="1:14" s="4" customFormat="1" ht="13.2" x14ac:dyDescent="0.25">
      <c r="A86" s="7" t="s">
        <v>348</v>
      </c>
      <c r="B86" s="7" t="s">
        <v>349</v>
      </c>
      <c r="C86" s="7" t="s">
        <v>346</v>
      </c>
      <c r="D86" s="6">
        <v>10.77</v>
      </c>
      <c r="E86" s="7" t="s">
        <v>350</v>
      </c>
      <c r="F86" s="7" t="s">
        <v>349</v>
      </c>
      <c r="G86" s="6">
        <v>53655052.229999989</v>
      </c>
      <c r="H86" s="6">
        <f>_xll.BDP($A86,"IPO_OFFER_PX_TO_LAST_CLOSE_%_CHG",$A$1,$A$2)</f>
        <v>-91.025000000000006</v>
      </c>
      <c r="I86" s="6">
        <f>_xll.BDP($A86,"IPO_OFFER_PX_TO_1ST_OPEN_%_CHG",$A$1,$A$2)</f>
        <v>0.3333333</v>
      </c>
      <c r="J86" s="6">
        <v>12</v>
      </c>
      <c r="K86" s="6">
        <v>3333300</v>
      </c>
      <c r="L86" s="7" t="s">
        <v>21</v>
      </c>
      <c r="M86" s="7" t="s">
        <v>22</v>
      </c>
      <c r="N86" s="7" t="s">
        <v>22</v>
      </c>
    </row>
    <row r="87" spans="1:14" s="4" customFormat="1" ht="13.2" x14ac:dyDescent="0.25">
      <c r="A87" s="7" t="s">
        <v>351</v>
      </c>
      <c r="B87" s="7" t="s">
        <v>352</v>
      </c>
      <c r="C87" s="7" t="s">
        <v>353</v>
      </c>
      <c r="D87" s="6">
        <v>34.07</v>
      </c>
      <c r="E87" s="7" t="s">
        <v>354</v>
      </c>
      <c r="F87" s="7" t="s">
        <v>352</v>
      </c>
      <c r="G87" s="6">
        <v>5754423000.000001</v>
      </c>
      <c r="H87" s="6">
        <f>_xll.BDP($A87,"IPO_OFFER_PX_TO_LAST_CLOSE_%_CHG",$A$1,$A$2)</f>
        <v>-55.753250000000001</v>
      </c>
      <c r="I87" s="6">
        <f>_xll.BDP($A87,"IPO_OFFER_PX_TO_1ST_OPEN_%_CHG",$A$1,$A$2)</f>
        <v>22.4026</v>
      </c>
      <c r="J87" s="6">
        <v>77</v>
      </c>
      <c r="K87" s="6">
        <v>10400000</v>
      </c>
      <c r="L87" s="7" t="s">
        <v>40</v>
      </c>
      <c r="M87" s="7" t="s">
        <v>41</v>
      </c>
      <c r="N87" s="7" t="s">
        <v>275</v>
      </c>
    </row>
    <row r="88" spans="1:14" s="4" customFormat="1" ht="13.2" x14ac:dyDescent="0.25">
      <c r="A88" s="7" t="s">
        <v>355</v>
      </c>
      <c r="B88" s="7" t="s">
        <v>356</v>
      </c>
      <c r="C88" s="7" t="s">
        <v>353</v>
      </c>
      <c r="D88" s="6">
        <v>0.96930000000000005</v>
      </c>
      <c r="E88" s="7" t="s">
        <v>357</v>
      </c>
      <c r="F88" s="7" t="s">
        <v>356</v>
      </c>
      <c r="G88" s="6">
        <v>196832632.76189998</v>
      </c>
      <c r="H88" s="6">
        <f>_xll.BDP($A88,"IPO_OFFER_PX_TO_LAST_CLOSE_%_CHG",$A$1,$A$2)</f>
        <v>-93.076430000000002</v>
      </c>
      <c r="I88" s="6">
        <f>_xll.BDP($A88,"IPO_OFFER_PX_TO_1ST_OPEN_%_CHG",$A$1,$A$2)</f>
        <v>-8.9285720000000008</v>
      </c>
      <c r="J88" s="6">
        <v>14</v>
      </c>
      <c r="K88" s="6">
        <v>5000000</v>
      </c>
      <c r="L88" s="7" t="s">
        <v>21</v>
      </c>
      <c r="M88" s="7" t="s">
        <v>87</v>
      </c>
      <c r="N88" s="7" t="s">
        <v>88</v>
      </c>
    </row>
    <row r="89" spans="1:14" s="4" customFormat="1" ht="13.2" x14ac:dyDescent="0.25">
      <c r="A89" s="7" t="s">
        <v>358</v>
      </c>
      <c r="B89" s="7" t="s">
        <v>359</v>
      </c>
      <c r="C89" s="7" t="s">
        <v>360</v>
      </c>
      <c r="D89" s="6">
        <v>17.175000000000001</v>
      </c>
      <c r="E89" s="7" t="s">
        <v>361</v>
      </c>
      <c r="F89" s="7" t="s">
        <v>359</v>
      </c>
      <c r="G89" s="6">
        <v>69591313.800000012</v>
      </c>
      <c r="H89" s="6">
        <f>_xll.BDP($A89,"IPO_OFFER_PX_TO_LAST_CLOSE_%_CHG",$A$1,$A$2)</f>
        <v>71.749989999999997</v>
      </c>
      <c r="I89" s="6">
        <f>_xll.BDP($A89,"IPO_OFFER_PX_TO_1ST_OPEN_%_CHG",$A$1,$A$2)</f>
        <v>33.299999999999997</v>
      </c>
      <c r="J89" s="6">
        <v>10</v>
      </c>
      <c r="K89" s="6">
        <v>5290000</v>
      </c>
      <c r="L89" s="7" t="s">
        <v>66</v>
      </c>
      <c r="M89" s="7" t="s">
        <v>96</v>
      </c>
      <c r="N89" s="7" t="s">
        <v>97</v>
      </c>
    </row>
    <row r="90" spans="1:14" s="4" customFormat="1" ht="13.2" x14ac:dyDescent="0.25">
      <c r="A90" s="7" t="s">
        <v>362</v>
      </c>
      <c r="B90" s="7" t="s">
        <v>363</v>
      </c>
      <c r="C90" s="7" t="s">
        <v>360</v>
      </c>
      <c r="D90" s="6">
        <v>1.77</v>
      </c>
      <c r="E90" s="7" t="s">
        <v>364</v>
      </c>
      <c r="F90" s="7" t="s">
        <v>363</v>
      </c>
      <c r="G90" s="6">
        <v>3589175.9099999997</v>
      </c>
      <c r="H90" s="6">
        <f>_xll.BDP($A90,"IPO_OFFER_PX_TO_LAST_CLOSE_%_CHG",$A$1,$A$2)</f>
        <v>-99.999700000000004</v>
      </c>
      <c r="I90" s="6">
        <f>_xll.BDP($A90,"IPO_OFFER_PX_TO_1ST_OPEN_%_CHG",$A$1,$A$2)</f>
        <v>-20.75</v>
      </c>
      <c r="J90" s="6">
        <v>4</v>
      </c>
      <c r="K90" s="6">
        <v>4709300</v>
      </c>
      <c r="L90" s="7" t="s">
        <v>21</v>
      </c>
      <c r="M90" s="7" t="s">
        <v>365</v>
      </c>
      <c r="N90" s="7" t="s">
        <v>365</v>
      </c>
    </row>
    <row r="91" spans="1:14" s="4" customFormat="1" ht="13.2" x14ac:dyDescent="0.25">
      <c r="A91" s="7" t="s">
        <v>366</v>
      </c>
      <c r="B91" s="7" t="s">
        <v>367</v>
      </c>
      <c r="C91" s="7" t="s">
        <v>360</v>
      </c>
      <c r="D91" s="6"/>
      <c r="E91" s="7" t="s">
        <v>368</v>
      </c>
      <c r="F91" s="7" t="s">
        <v>367</v>
      </c>
      <c r="G91" s="6"/>
      <c r="H91" s="6" t="str">
        <f>_xll.BDP($A91,"IPO_OFFER_PX_TO_LAST_CLOSE_%_CHG",$A$1,$A$2)</f>
        <v>#N/A N/A</v>
      </c>
      <c r="I91" s="6">
        <f>_xll.BDP($A91,"IPO_OFFER_PX_TO_1ST_OPEN_%_CHG",$A$1,$A$2)</f>
        <v>-3.44</v>
      </c>
      <c r="J91" s="6">
        <v>25</v>
      </c>
      <c r="K91" s="6">
        <v>26400000</v>
      </c>
      <c r="L91" s="7"/>
      <c r="M91" s="7"/>
      <c r="N91" s="7"/>
    </row>
    <row r="92" spans="1:14" s="4" customFormat="1" ht="13.2" x14ac:dyDescent="0.25">
      <c r="A92" s="7" t="s">
        <v>369</v>
      </c>
      <c r="B92" s="7" t="s">
        <v>370</v>
      </c>
      <c r="C92" s="7" t="s">
        <v>371</v>
      </c>
      <c r="D92" s="6">
        <v>0.9486</v>
      </c>
      <c r="E92" s="7" t="s">
        <v>372</v>
      </c>
      <c r="F92" s="7" t="s">
        <v>370</v>
      </c>
      <c r="G92" s="6">
        <v>84897817.028999999</v>
      </c>
      <c r="H92" s="6">
        <f>_xll.BDP($A92,"IPO_OFFER_PX_TO_LAST_CLOSE_%_CHG",$A$1,$A$2)</f>
        <v>-92.094999999999999</v>
      </c>
      <c r="I92" s="6">
        <f>_xll.BDP($A92,"IPO_OFFER_PX_TO_1ST_OPEN_%_CHG",$A$1,$A$2)</f>
        <v>1.25</v>
      </c>
      <c r="J92" s="6">
        <v>12</v>
      </c>
      <c r="K92" s="6">
        <v>3768100</v>
      </c>
      <c r="L92" s="7" t="s">
        <v>21</v>
      </c>
      <c r="M92" s="7" t="s">
        <v>62</v>
      </c>
      <c r="N92" s="7" t="s">
        <v>62</v>
      </c>
    </row>
    <row r="93" spans="1:14" s="4" customFormat="1" ht="13.2" x14ac:dyDescent="0.25">
      <c r="A93" s="7" t="s">
        <v>373</v>
      </c>
      <c r="B93" s="7" t="s">
        <v>374</v>
      </c>
      <c r="C93" s="7" t="s">
        <v>371</v>
      </c>
      <c r="D93" s="6"/>
      <c r="E93" s="7" t="s">
        <v>375</v>
      </c>
      <c r="F93" s="7" t="s">
        <v>374</v>
      </c>
      <c r="G93" s="6"/>
      <c r="H93" s="6" t="str">
        <f>_xll.BDP($A93,"IPO_OFFER_PX_TO_LAST_CLOSE_%_CHG",$A$1,$A$2)</f>
        <v>#N/A N/A</v>
      </c>
      <c r="I93" s="6">
        <f>_xll.BDP($A93,"IPO_OFFER_PX_TO_1ST_OPEN_%_CHG",$A$1,$A$2)</f>
        <v>-1.6666669999999999</v>
      </c>
      <c r="J93" s="6">
        <v>15</v>
      </c>
      <c r="K93" s="6">
        <v>8333000</v>
      </c>
      <c r="L93" s="7"/>
      <c r="M93" s="7"/>
      <c r="N93" s="7"/>
    </row>
    <row r="94" spans="1:14" s="4" customFormat="1" ht="13.2" x14ac:dyDescent="0.25">
      <c r="A94" s="7" t="s">
        <v>376</v>
      </c>
      <c r="B94" s="7" t="s">
        <v>377</v>
      </c>
      <c r="C94" s="7" t="s">
        <v>371</v>
      </c>
      <c r="D94" s="6">
        <v>2.25</v>
      </c>
      <c r="E94" s="7" t="s">
        <v>378</v>
      </c>
      <c r="F94" s="7" t="s">
        <v>377</v>
      </c>
      <c r="G94" s="6">
        <v>142549834.49999997</v>
      </c>
      <c r="H94" s="6">
        <f>_xll.BDP($A94,"IPO_OFFER_PX_TO_LAST_CLOSE_%_CHG",$A$1,$A$2)</f>
        <v>-85.9375</v>
      </c>
      <c r="I94" s="6">
        <f>_xll.BDP($A94,"IPO_OFFER_PX_TO_1ST_OPEN_%_CHG",$A$1,$A$2)</f>
        <v>18.75</v>
      </c>
      <c r="J94" s="6">
        <v>16</v>
      </c>
      <c r="K94" s="6">
        <v>10500000</v>
      </c>
      <c r="L94" s="7" t="s">
        <v>21</v>
      </c>
      <c r="M94" s="7" t="s">
        <v>22</v>
      </c>
      <c r="N94" s="7" t="s">
        <v>22</v>
      </c>
    </row>
    <row r="95" spans="1:14" s="4" customFormat="1" ht="13.2" x14ac:dyDescent="0.25">
      <c r="A95" s="7" t="s">
        <v>379</v>
      </c>
      <c r="B95" s="7" t="s">
        <v>380</v>
      </c>
      <c r="C95" s="7" t="s">
        <v>381</v>
      </c>
      <c r="D95" s="6"/>
      <c r="E95" s="7" t="s">
        <v>382</v>
      </c>
      <c r="F95" s="7" t="s">
        <v>380</v>
      </c>
      <c r="G95" s="6"/>
      <c r="H95" s="6" t="str">
        <f>_xll.BDP($A95,"IPO_OFFER_PX_TO_LAST_CLOSE_%_CHG",$A$1,$A$2)</f>
        <v>#N/A N/A</v>
      </c>
      <c r="I95" s="6">
        <f>_xll.BDP($A95,"IPO_OFFER_PX_TO_1ST_OPEN_%_CHG",$A$1,$A$2)</f>
        <v>30</v>
      </c>
      <c r="J95" s="6">
        <v>16</v>
      </c>
      <c r="K95" s="6">
        <v>10000200</v>
      </c>
      <c r="L95" s="7"/>
      <c r="M95" s="7"/>
      <c r="N95" s="7"/>
    </row>
    <row r="96" spans="1:14" s="4" customFormat="1" ht="13.2" x14ac:dyDescent="0.25">
      <c r="A96" s="7" t="s">
        <v>383</v>
      </c>
      <c r="B96" s="7" t="s">
        <v>384</v>
      </c>
      <c r="C96" s="7" t="s">
        <v>381</v>
      </c>
      <c r="D96" s="6">
        <v>42.51</v>
      </c>
      <c r="E96" s="7" t="s">
        <v>385</v>
      </c>
      <c r="F96" s="7" t="s">
        <v>384</v>
      </c>
      <c r="G96" s="6">
        <v>9462842392.3799992</v>
      </c>
      <c r="H96" s="6">
        <f>_xll.BDP($A96,"IPO_OFFER_PX_TO_LAST_CLOSE_%_CHG",$A$1,$A$2)</f>
        <v>136.16669999999999</v>
      </c>
      <c r="I96" s="6">
        <f>_xll.BDP($A96,"IPO_OFFER_PX_TO_1ST_OPEN_%_CHG",$A$1,$A$2)</f>
        <v>-7.944445</v>
      </c>
      <c r="J96" s="6">
        <v>18</v>
      </c>
      <c r="K96" s="6">
        <v>39000000</v>
      </c>
      <c r="L96" s="7" t="s">
        <v>102</v>
      </c>
      <c r="M96" s="7" t="s">
        <v>103</v>
      </c>
      <c r="N96" s="7" t="s">
        <v>386</v>
      </c>
    </row>
    <row r="97" spans="1:14" s="4" customFormat="1" ht="13.2" x14ac:dyDescent="0.25">
      <c r="A97" s="7" t="s">
        <v>387</v>
      </c>
      <c r="B97" s="7" t="s">
        <v>388</v>
      </c>
      <c r="C97" s="7" t="s">
        <v>389</v>
      </c>
      <c r="D97" s="6">
        <v>3.49</v>
      </c>
      <c r="E97" s="7" t="s">
        <v>390</v>
      </c>
      <c r="F97" s="7" t="s">
        <v>388</v>
      </c>
      <c r="G97" s="6">
        <v>98104287.390000015</v>
      </c>
      <c r="H97" s="6">
        <f>_xll.BDP($A97,"IPO_OFFER_PX_TO_LAST_CLOSE_%_CHG",$A$1,$A$2)</f>
        <v>-99.999949999999998</v>
      </c>
      <c r="I97" s="6">
        <f>_xll.BDP($A97,"IPO_OFFER_PX_TO_1ST_OPEN_%_CHG",$A$1,$A$2)</f>
        <v>63.818179999999998</v>
      </c>
      <c r="J97" s="6">
        <v>5.5</v>
      </c>
      <c r="K97" s="6">
        <v>3025000</v>
      </c>
      <c r="L97" s="7" t="s">
        <v>102</v>
      </c>
      <c r="M97" s="7" t="s">
        <v>162</v>
      </c>
      <c r="N97" s="7" t="s">
        <v>391</v>
      </c>
    </row>
    <row r="98" spans="1:14" s="4" customFormat="1" ht="13.2" x14ac:dyDescent="0.25">
      <c r="A98" s="7" t="s">
        <v>392</v>
      </c>
      <c r="B98" s="7" t="s">
        <v>393</v>
      </c>
      <c r="C98" s="7" t="s">
        <v>394</v>
      </c>
      <c r="D98" s="6">
        <v>3.08</v>
      </c>
      <c r="E98" s="7" t="s">
        <v>395</v>
      </c>
      <c r="F98" s="7" t="s">
        <v>393</v>
      </c>
      <c r="G98" s="6">
        <v>37440427.639999993</v>
      </c>
      <c r="H98" s="6">
        <f>_xll.BDP($A98,"IPO_OFFER_PX_TO_LAST_CLOSE_%_CHG",$A$1,$A$2)</f>
        <v>-42.50665</v>
      </c>
      <c r="I98" s="6" t="str">
        <f>_xll.BDP($A98,"IPO_OFFER_PX_TO_1ST_OPEN_%_CHG",$A$1,$A$2)</f>
        <v>#N/A N/A</v>
      </c>
      <c r="J98" s="6">
        <v>6.25</v>
      </c>
      <c r="K98" s="6">
        <v>1056000</v>
      </c>
      <c r="L98" s="7" t="s">
        <v>21</v>
      </c>
      <c r="M98" s="7" t="s">
        <v>62</v>
      </c>
      <c r="N98" s="7" t="s">
        <v>62</v>
      </c>
    </row>
    <row r="99" spans="1:14" s="4" customFormat="1" ht="13.2" x14ac:dyDescent="0.25">
      <c r="A99" s="7" t="s">
        <v>396</v>
      </c>
      <c r="B99" s="7" t="s">
        <v>397</v>
      </c>
      <c r="C99" s="7" t="s">
        <v>394</v>
      </c>
      <c r="D99" s="6">
        <v>12.23</v>
      </c>
      <c r="E99" s="7" t="s">
        <v>398</v>
      </c>
      <c r="F99" s="7" t="s">
        <v>397</v>
      </c>
      <c r="G99" s="6">
        <v>753916943.54999995</v>
      </c>
      <c r="H99" s="6">
        <f>_xll.BDP($A99,"IPO_OFFER_PX_TO_LAST_CLOSE_%_CHG",$A$1,$A$2)</f>
        <v>-32.05556</v>
      </c>
      <c r="I99" s="6">
        <f>_xll.BDP($A99,"IPO_OFFER_PX_TO_1ST_OPEN_%_CHG",$A$1,$A$2)</f>
        <v>16.66667</v>
      </c>
      <c r="J99" s="6">
        <v>18</v>
      </c>
      <c r="K99" s="6">
        <v>9459000</v>
      </c>
      <c r="L99" s="7" t="s">
        <v>102</v>
      </c>
      <c r="M99" s="7" t="s">
        <v>103</v>
      </c>
      <c r="N99" s="7" t="s">
        <v>104</v>
      </c>
    </row>
    <row r="100" spans="1:14" s="4" customFormat="1" ht="13.2" x14ac:dyDescent="0.25">
      <c r="A100" s="7" t="s">
        <v>399</v>
      </c>
      <c r="B100" s="7" t="s">
        <v>400</v>
      </c>
      <c r="C100" s="7" t="s">
        <v>401</v>
      </c>
      <c r="D100" s="6">
        <v>2.0699999999999998</v>
      </c>
      <c r="E100" s="7" t="s">
        <v>402</v>
      </c>
      <c r="F100" s="7" t="s">
        <v>400</v>
      </c>
      <c r="G100" s="6">
        <v>1391282165.1600001</v>
      </c>
      <c r="H100" s="6" t="str">
        <f>_xll.BDP($A100,"IPO_OFFER_PX_TO_LAST_CLOSE_%_CHG",$A$1,$A$2)</f>
        <v>#N/A N/A</v>
      </c>
      <c r="I100" s="6">
        <f>_xll.BDP($A100,"IPO_OFFER_PX_TO_1ST_OPEN_%_CHG",$A$1,$A$2)</f>
        <v>19.047619999999998</v>
      </c>
      <c r="J100" s="6">
        <v>21</v>
      </c>
      <c r="K100" s="6">
        <v>73700000</v>
      </c>
      <c r="L100" s="7"/>
      <c r="M100" s="7"/>
      <c r="N100" s="7"/>
    </row>
    <row r="101" spans="1:14" s="4" customFormat="1" ht="13.2" x14ac:dyDescent="0.25">
      <c r="A101" s="7" t="s">
        <v>403</v>
      </c>
      <c r="B101" s="7" t="s">
        <v>404</v>
      </c>
      <c r="C101" s="7" t="s">
        <v>405</v>
      </c>
      <c r="D101" s="6">
        <v>5.7</v>
      </c>
      <c r="E101" s="7" t="s">
        <v>406</v>
      </c>
      <c r="F101" s="7" t="s">
        <v>404</v>
      </c>
      <c r="G101" s="6">
        <v>31471136.399999999</v>
      </c>
      <c r="H101" s="6">
        <f>_xll.BDP($A101,"IPO_OFFER_PX_TO_LAST_CLOSE_%_CHG",$A$1,$A$2)</f>
        <v>-99.586950000000002</v>
      </c>
      <c r="I101" s="6" t="str">
        <f>_xll.BDP($A101,"IPO_OFFER_PX_TO_1ST_OPEN_%_CHG",$A$1,$A$2)</f>
        <v>#N/A N/A</v>
      </c>
      <c r="J101" s="6">
        <v>11.5</v>
      </c>
      <c r="K101" s="6">
        <v>3913000</v>
      </c>
      <c r="L101" s="7" t="s">
        <v>40</v>
      </c>
      <c r="M101" s="7" t="s">
        <v>41</v>
      </c>
      <c r="N101" s="7" t="s">
        <v>42</v>
      </c>
    </row>
    <row r="102" spans="1:14" s="4" customFormat="1" ht="13.2" x14ac:dyDescent="0.25">
      <c r="A102" s="7" t="s">
        <v>407</v>
      </c>
      <c r="B102" s="7" t="s">
        <v>408</v>
      </c>
      <c r="C102" s="7" t="s">
        <v>405</v>
      </c>
      <c r="D102" s="6"/>
      <c r="E102" s="7" t="s">
        <v>409</v>
      </c>
      <c r="F102" s="7" t="s">
        <v>408</v>
      </c>
      <c r="G102" s="6"/>
      <c r="H102" s="6" t="str">
        <f>_xll.BDP($A102,"IPO_OFFER_PX_TO_LAST_CLOSE_%_CHG",$A$1,$A$2)</f>
        <v>#N/A N/A</v>
      </c>
      <c r="I102" s="6">
        <f>_xll.BDP($A102,"IPO_OFFER_PX_TO_1ST_OPEN_%_CHG",$A$1,$A$2)</f>
        <v>6.6</v>
      </c>
      <c r="J102" s="6">
        <v>10</v>
      </c>
      <c r="K102" s="6">
        <v>25000000</v>
      </c>
      <c r="L102" s="7"/>
      <c r="M102" s="7"/>
      <c r="N102" s="7"/>
    </row>
    <row r="103" spans="1:14" s="4" customFormat="1" ht="13.2" x14ac:dyDescent="0.25">
      <c r="A103" s="7" t="s">
        <v>410</v>
      </c>
      <c r="B103" s="7" t="s">
        <v>411</v>
      </c>
      <c r="C103" s="7" t="s">
        <v>412</v>
      </c>
      <c r="D103" s="6">
        <v>15.4</v>
      </c>
      <c r="E103" s="7" t="s">
        <v>413</v>
      </c>
      <c r="F103" s="7" t="s">
        <v>411</v>
      </c>
      <c r="G103" s="6"/>
      <c r="H103" s="6">
        <f>_xll.BDP($A103,"IPO_OFFER_PX_TO_LAST_CLOSE_%_CHG",$A$1,$A$2)</f>
        <v>-23</v>
      </c>
      <c r="I103" s="6">
        <f>_xll.BDP($A103,"IPO_OFFER_PX_TO_1ST_OPEN_%_CHG",$A$1,$A$2)</f>
        <v>0</v>
      </c>
      <c r="J103" s="6">
        <v>20</v>
      </c>
      <c r="K103" s="6">
        <v>125000000</v>
      </c>
      <c r="L103" s="7"/>
      <c r="M103" s="7"/>
      <c r="N103" s="7"/>
    </row>
    <row r="104" spans="1:14" s="4" customFormat="1" ht="13.2" x14ac:dyDescent="0.25">
      <c r="A104" s="7" t="s">
        <v>414</v>
      </c>
      <c r="B104" s="7" t="s">
        <v>415</v>
      </c>
      <c r="C104" s="7" t="s">
        <v>416</v>
      </c>
      <c r="D104" s="6">
        <v>9.9999999747524271E-7</v>
      </c>
      <c r="E104" s="7" t="s">
        <v>417</v>
      </c>
      <c r="F104" s="7" t="s">
        <v>415</v>
      </c>
      <c r="G104" s="6"/>
      <c r="H104" s="6">
        <f>_xll.BDP($A104,"IPO_OFFER_PX_TO_LAST_CLOSE_%_CHG",$A$1,$A$2)</f>
        <v>-99.999989999999997</v>
      </c>
      <c r="I104" s="6">
        <f>_xll.BDP($A104,"IPO_OFFER_PX_TO_1ST_OPEN_%_CHG",$A$1,$A$2)</f>
        <v>4.75</v>
      </c>
      <c r="J104" s="6">
        <v>16</v>
      </c>
      <c r="K104" s="6">
        <v>12500000</v>
      </c>
      <c r="L104" s="7" t="s">
        <v>21</v>
      </c>
      <c r="M104" s="7" t="s">
        <v>87</v>
      </c>
      <c r="N104" s="7" t="s">
        <v>88</v>
      </c>
    </row>
    <row r="105" spans="1:14" s="4" customFormat="1" ht="13.2" x14ac:dyDescent="0.25">
      <c r="A105" s="7" t="s">
        <v>418</v>
      </c>
      <c r="B105" s="7" t="s">
        <v>419</v>
      </c>
      <c r="C105" s="7" t="s">
        <v>416</v>
      </c>
      <c r="D105" s="6"/>
      <c r="E105" s="7" t="s">
        <v>420</v>
      </c>
      <c r="F105" s="7" t="s">
        <v>419</v>
      </c>
      <c r="G105" s="6">
        <v>7330872426.96</v>
      </c>
      <c r="H105" s="6" t="str">
        <f>_xll.BDP($A105,"IPO_OFFER_PX_TO_LAST_CLOSE_%_CHG",$A$1,$A$2)</f>
        <v>#N/A N/A</v>
      </c>
      <c r="I105" s="6">
        <f>_xll.BDP($A105,"IPO_OFFER_PX_TO_1ST_OPEN_%_CHG",$A$1,$A$2)</f>
        <v>31.94444</v>
      </c>
      <c r="J105" s="6">
        <v>18</v>
      </c>
      <c r="K105" s="6">
        <v>30000000</v>
      </c>
      <c r="L105" s="7"/>
      <c r="M105" s="7"/>
      <c r="N105" s="7"/>
    </row>
    <row r="106" spans="1:14" s="4" customFormat="1" ht="13.2" x14ac:dyDescent="0.25">
      <c r="A106" s="7" t="s">
        <v>421</v>
      </c>
      <c r="B106" s="7" t="s">
        <v>422</v>
      </c>
      <c r="C106" s="7" t="s">
        <v>423</v>
      </c>
      <c r="D106" s="6"/>
      <c r="E106" s="7" t="s">
        <v>424</v>
      </c>
      <c r="F106" s="7" t="s">
        <v>422</v>
      </c>
      <c r="G106" s="6"/>
      <c r="H106" s="6" t="str">
        <f>_xll.BDP($A106,"IPO_OFFER_PX_TO_LAST_CLOSE_%_CHG",$A$1,$A$2)</f>
        <v>#N/A N/A</v>
      </c>
      <c r="I106" s="6">
        <f>_xll.BDP($A106,"IPO_OFFER_PX_TO_1ST_OPEN_%_CHG",$A$1,$A$2)</f>
        <v>22.91667</v>
      </c>
      <c r="J106" s="6">
        <v>12</v>
      </c>
      <c r="K106" s="6">
        <v>23334000</v>
      </c>
      <c r="L106" s="7"/>
      <c r="M106" s="7"/>
      <c r="N106" s="7"/>
    </row>
    <row r="107" spans="1:14" s="4" customFormat="1" ht="13.2" x14ac:dyDescent="0.25">
      <c r="A107" s="7" t="s">
        <v>425</v>
      </c>
      <c r="B107" s="7" t="s">
        <v>426</v>
      </c>
      <c r="C107" s="7" t="s">
        <v>423</v>
      </c>
      <c r="D107" s="6"/>
      <c r="E107" s="7" t="s">
        <v>427</v>
      </c>
      <c r="F107" s="7" t="s">
        <v>426</v>
      </c>
      <c r="G107" s="6"/>
      <c r="H107" s="6" t="str">
        <f>_xll.BDP($A107,"IPO_OFFER_PX_TO_LAST_CLOSE_%_CHG",$A$1,$A$2)</f>
        <v>#N/A N/A</v>
      </c>
      <c r="I107" s="6">
        <f>_xll.BDP($A107,"IPO_OFFER_PX_TO_1ST_OPEN_%_CHG",$A$1,$A$2)</f>
        <v>44.23077</v>
      </c>
      <c r="J107" s="6">
        <v>26</v>
      </c>
      <c r="K107" s="6">
        <v>14550000</v>
      </c>
      <c r="L107" s="7"/>
      <c r="M107" s="7"/>
      <c r="N107" s="7"/>
    </row>
    <row r="108" spans="1:14" s="4" customFormat="1" ht="13.2" x14ac:dyDescent="0.25">
      <c r="A108" s="7" t="s">
        <v>428</v>
      </c>
      <c r="B108" s="7" t="s">
        <v>429</v>
      </c>
      <c r="C108" s="7" t="s">
        <v>423</v>
      </c>
      <c r="D108" s="6"/>
      <c r="E108" s="7" t="s">
        <v>430</v>
      </c>
      <c r="F108" s="7" t="s">
        <v>429</v>
      </c>
      <c r="G108" s="6"/>
      <c r="H108" s="6" t="str">
        <f>_xll.BDP($A108,"IPO_OFFER_PX_TO_LAST_CLOSE_%_CHG",$A$1,$A$2)</f>
        <v>#N/A N/A</v>
      </c>
      <c r="I108" s="6">
        <f>_xll.BDP($A108,"IPO_OFFER_PX_TO_1ST_OPEN_%_CHG",$A$1,$A$2)</f>
        <v>-15</v>
      </c>
      <c r="J108" s="6">
        <v>10</v>
      </c>
      <c r="K108" s="6">
        <v>7000000</v>
      </c>
      <c r="L108" s="7"/>
      <c r="M108" s="7"/>
      <c r="N108" s="7"/>
    </row>
    <row r="109" spans="1:14" s="4" customFormat="1" ht="13.2" x14ac:dyDescent="0.25">
      <c r="A109" s="7" t="s">
        <v>431</v>
      </c>
      <c r="B109" s="7" t="s">
        <v>432</v>
      </c>
      <c r="C109" s="7" t="s">
        <v>423</v>
      </c>
      <c r="D109" s="6"/>
      <c r="E109" s="7" t="s">
        <v>433</v>
      </c>
      <c r="F109" s="7" t="s">
        <v>432</v>
      </c>
      <c r="G109" s="6"/>
      <c r="H109" s="6" t="str">
        <f>_xll.BDP($A109,"IPO_OFFER_PX_TO_LAST_CLOSE_%_CHG",$A$1,$A$2)</f>
        <v>#N/A N/A</v>
      </c>
      <c r="I109" s="6">
        <f>_xll.BDP($A109,"IPO_OFFER_PX_TO_1ST_OPEN_%_CHG",$A$1,$A$2)</f>
        <v>17.391300000000001</v>
      </c>
      <c r="J109" s="6">
        <v>23</v>
      </c>
      <c r="K109" s="6">
        <v>14285000</v>
      </c>
      <c r="L109" s="7"/>
      <c r="M109" s="7"/>
      <c r="N109" s="7"/>
    </row>
    <row r="110" spans="1:14" s="4" customFormat="1" ht="13.2" x14ac:dyDescent="0.25">
      <c r="A110" s="7" t="s">
        <v>434</v>
      </c>
      <c r="B110" s="7" t="s">
        <v>435</v>
      </c>
      <c r="C110" s="7" t="s">
        <v>423</v>
      </c>
      <c r="D110" s="6">
        <v>1.1599999999999999</v>
      </c>
      <c r="E110" s="7" t="s">
        <v>436</v>
      </c>
      <c r="F110" s="7" t="s">
        <v>435</v>
      </c>
      <c r="G110" s="6">
        <v>117393391.99999999</v>
      </c>
      <c r="H110" s="6">
        <f>_xll.BDP($A110,"IPO_OFFER_PX_TO_LAST_CLOSE_%_CHG",$A$1,$A$2)</f>
        <v>-90.333340000000007</v>
      </c>
      <c r="I110" s="6">
        <f>_xll.BDP($A110,"IPO_OFFER_PX_TO_1ST_OPEN_%_CHG",$A$1,$A$2)</f>
        <v>8.3333329999999997</v>
      </c>
      <c r="J110" s="6">
        <v>12</v>
      </c>
      <c r="K110" s="6">
        <v>8333300</v>
      </c>
      <c r="L110" s="7" t="s">
        <v>102</v>
      </c>
      <c r="M110" s="7" t="s">
        <v>153</v>
      </c>
      <c r="N110" s="7" t="s">
        <v>279</v>
      </c>
    </row>
    <row r="111" spans="1:14" s="4" customFormat="1" ht="13.2" x14ac:dyDescent="0.25">
      <c r="A111" s="7" t="s">
        <v>437</v>
      </c>
      <c r="B111" s="7" t="s">
        <v>438</v>
      </c>
      <c r="C111" s="7" t="s">
        <v>423</v>
      </c>
      <c r="D111" s="6">
        <v>23.86</v>
      </c>
      <c r="E111" s="7" t="s">
        <v>439</v>
      </c>
      <c r="F111" s="7" t="s">
        <v>438</v>
      </c>
      <c r="G111" s="6">
        <v>5023987344.9399996</v>
      </c>
      <c r="H111" s="6">
        <f>_xll.BDP($A111,"IPO_OFFER_PX_TO_LAST_CLOSE_%_CHG",$A$1,$A$2)</f>
        <v>-44.511629999999997</v>
      </c>
      <c r="I111" s="6">
        <f>_xll.BDP($A111,"IPO_OFFER_PX_TO_1ST_OPEN_%_CHG",$A$1,$A$2)</f>
        <v>23.023260000000001</v>
      </c>
      <c r="J111" s="6">
        <v>43</v>
      </c>
      <c r="K111" s="6">
        <v>12162800</v>
      </c>
      <c r="L111" s="7" t="s">
        <v>66</v>
      </c>
      <c r="M111" s="7" t="s">
        <v>440</v>
      </c>
      <c r="N111" s="7" t="s">
        <v>441</v>
      </c>
    </row>
    <row r="112" spans="1:14" s="4" customFormat="1" ht="13.2" x14ac:dyDescent="0.25">
      <c r="A112" s="7" t="s">
        <v>442</v>
      </c>
      <c r="B112" s="7" t="s">
        <v>443</v>
      </c>
      <c r="C112" s="7" t="s">
        <v>444</v>
      </c>
      <c r="D112" s="6">
        <v>11.05</v>
      </c>
      <c r="E112" s="7" t="s">
        <v>445</v>
      </c>
      <c r="F112" s="7" t="s">
        <v>443</v>
      </c>
      <c r="G112" s="6">
        <v>3175850432.9500003</v>
      </c>
      <c r="H112" s="6">
        <f>_xll.BDP($A112,"IPO_OFFER_PX_TO_LAST_CLOSE_%_CHG",$A$1,$A$2)</f>
        <v>-69.30556</v>
      </c>
      <c r="I112" s="6">
        <f>_xll.BDP($A112,"IPO_OFFER_PX_TO_1ST_OPEN_%_CHG",$A$1,$A$2)</f>
        <v>20.83333</v>
      </c>
      <c r="J112" s="6">
        <v>36</v>
      </c>
      <c r="K112" s="6">
        <v>28500000</v>
      </c>
      <c r="L112" s="7" t="s">
        <v>40</v>
      </c>
      <c r="M112" s="7" t="s">
        <v>41</v>
      </c>
      <c r="N112" s="7" t="s">
        <v>42</v>
      </c>
    </row>
    <row r="113" spans="1:14" s="4" customFormat="1" ht="13.2" x14ac:dyDescent="0.25">
      <c r="A113" s="7" t="s">
        <v>446</v>
      </c>
      <c r="B113" s="7" t="s">
        <v>447</v>
      </c>
      <c r="C113" s="7" t="s">
        <v>444</v>
      </c>
      <c r="D113" s="6">
        <v>30.85</v>
      </c>
      <c r="E113" s="7" t="s">
        <v>448</v>
      </c>
      <c r="F113" s="7" t="s">
        <v>447</v>
      </c>
      <c r="G113" s="6">
        <v>17893000000</v>
      </c>
      <c r="H113" s="6">
        <f>_xll.BDP($A113,"IPO_OFFER_PX_TO_LAST_CLOSE_%_CHG",$A$1,$A$2)</f>
        <v>-22.875</v>
      </c>
      <c r="I113" s="6">
        <f>_xll.BDP($A113,"IPO_OFFER_PX_TO_1ST_OPEN_%_CHG",$A$1,$A$2)</f>
        <v>63.15</v>
      </c>
      <c r="J113" s="6">
        <v>40</v>
      </c>
      <c r="K113" s="6">
        <v>21739100</v>
      </c>
      <c r="L113" s="7" t="s">
        <v>66</v>
      </c>
      <c r="M113" s="7" t="s">
        <v>440</v>
      </c>
      <c r="N113" s="7" t="s">
        <v>441</v>
      </c>
    </row>
    <row r="114" spans="1:14" s="4" customFormat="1" ht="13.2" x14ac:dyDescent="0.25">
      <c r="A114" s="7" t="s">
        <v>449</v>
      </c>
      <c r="B114" s="7" t="s">
        <v>450</v>
      </c>
      <c r="C114" s="7" t="s">
        <v>444</v>
      </c>
      <c r="D114" s="6">
        <v>11.1</v>
      </c>
      <c r="E114" s="7" t="s">
        <v>451</v>
      </c>
      <c r="F114" s="7" t="s">
        <v>450</v>
      </c>
      <c r="G114" s="6">
        <v>120125221.2</v>
      </c>
      <c r="H114" s="6">
        <f>_xll.BDP($A114,"IPO_OFFER_PX_TO_LAST_CLOSE_%_CHG",$A$1,$A$2)</f>
        <v>-91.590940000000003</v>
      </c>
      <c r="I114" s="6">
        <f>_xll.BDP($A114,"IPO_OFFER_PX_TO_1ST_OPEN_%_CHG",$A$1,$A$2)</f>
        <v>-13.63636</v>
      </c>
      <c r="J114" s="6">
        <v>11</v>
      </c>
      <c r="K114" s="6">
        <v>10000000</v>
      </c>
      <c r="L114" s="7" t="s">
        <v>102</v>
      </c>
      <c r="M114" s="7" t="s">
        <v>153</v>
      </c>
      <c r="N114" s="7" t="s">
        <v>154</v>
      </c>
    </row>
    <row r="115" spans="1:14" s="4" customFormat="1" ht="13.2" x14ac:dyDescent="0.25">
      <c r="A115" s="7" t="s">
        <v>452</v>
      </c>
      <c r="B115" s="7" t="s">
        <v>453</v>
      </c>
      <c r="C115" s="7" t="s">
        <v>454</v>
      </c>
      <c r="D115" s="6">
        <v>0.28000000000000003</v>
      </c>
      <c r="E115" s="7" t="s">
        <v>455</v>
      </c>
      <c r="F115" s="7" t="s">
        <v>453</v>
      </c>
      <c r="G115" s="6">
        <v>35248827.32</v>
      </c>
      <c r="H115" s="6">
        <f>_xll.BDP($A115,"IPO_OFFER_PX_TO_LAST_CLOSE_%_CHG",$A$1,$A$2)</f>
        <v>-40.425530000000002</v>
      </c>
      <c r="I115" s="6">
        <f>_xll.BDP($A115,"IPO_OFFER_PX_TO_1ST_OPEN_%_CHG",$A$1,$A$2)</f>
        <v>6.3829789999999997</v>
      </c>
      <c r="J115" s="6">
        <v>0.47</v>
      </c>
      <c r="K115" s="6">
        <v>13829800</v>
      </c>
      <c r="L115" s="7"/>
      <c r="M115" s="7"/>
      <c r="N115" s="7"/>
    </row>
    <row r="116" spans="1:14" s="4" customFormat="1" ht="13.2" x14ac:dyDescent="0.25">
      <c r="A116" s="7" t="s">
        <v>456</v>
      </c>
      <c r="B116" s="7" t="s">
        <v>457</v>
      </c>
      <c r="C116" s="7" t="s">
        <v>458</v>
      </c>
      <c r="D116" s="6"/>
      <c r="E116" s="7" t="s">
        <v>459</v>
      </c>
      <c r="F116" s="7" t="s">
        <v>457</v>
      </c>
      <c r="G116" s="6"/>
      <c r="H116" s="6" t="str">
        <f>_xll.BDP($A116,"IPO_OFFER_PX_TO_LAST_CLOSE_%_CHG",$A$1,$A$2)</f>
        <v>#N/A N/A</v>
      </c>
      <c r="I116" s="6">
        <f>_xll.BDP($A116,"IPO_OFFER_PX_TO_1ST_OPEN_%_CHG",$A$1,$A$2)</f>
        <v>40</v>
      </c>
      <c r="J116" s="6">
        <v>25</v>
      </c>
      <c r="K116" s="6">
        <v>11000000</v>
      </c>
      <c r="L116" s="7"/>
      <c r="M116" s="7"/>
      <c r="N116" s="7"/>
    </row>
    <row r="117" spans="1:14" s="4" customFormat="1" ht="13.2" x14ac:dyDescent="0.25">
      <c r="A117" s="7" t="s">
        <v>460</v>
      </c>
      <c r="B117" s="7" t="s">
        <v>461</v>
      </c>
      <c r="C117" s="7" t="s">
        <v>458</v>
      </c>
      <c r="D117" s="6">
        <v>46.39</v>
      </c>
      <c r="E117" s="7" t="s">
        <v>462</v>
      </c>
      <c r="F117" s="7" t="s">
        <v>461</v>
      </c>
      <c r="G117" s="6">
        <v>6476078560.5499992</v>
      </c>
      <c r="H117" s="6">
        <f>_xll.BDP($A117,"IPO_OFFER_PX_TO_LAST_CLOSE_%_CHG",$A$1,$A$2)</f>
        <v>144.15790000000001</v>
      </c>
      <c r="I117" s="6">
        <f>_xll.BDP($A117,"IPO_OFFER_PX_TO_1ST_OPEN_%_CHG",$A$1,$A$2)</f>
        <v>5.2631579999999998</v>
      </c>
      <c r="J117" s="6">
        <v>19</v>
      </c>
      <c r="K117" s="6">
        <v>13310400</v>
      </c>
      <c r="L117" s="7" t="s">
        <v>66</v>
      </c>
      <c r="M117" s="7" t="s">
        <v>440</v>
      </c>
      <c r="N117" s="7" t="s">
        <v>463</v>
      </c>
    </row>
    <row r="118" spans="1:14" s="4" customFormat="1" ht="13.2" x14ac:dyDescent="0.25">
      <c r="A118" s="7" t="s">
        <v>464</v>
      </c>
      <c r="B118" s="7" t="s">
        <v>465</v>
      </c>
      <c r="C118" s="7" t="s">
        <v>458</v>
      </c>
      <c r="D118" s="6"/>
      <c r="E118" s="7" t="s">
        <v>466</v>
      </c>
      <c r="F118" s="7" t="s">
        <v>465</v>
      </c>
      <c r="G118" s="6"/>
      <c r="H118" s="6" t="str">
        <f>_xll.BDP($A118,"IPO_OFFER_PX_TO_LAST_CLOSE_%_CHG",$A$1,$A$2)</f>
        <v>#N/A N/A</v>
      </c>
      <c r="I118" s="6">
        <f>_xll.BDP($A118,"IPO_OFFER_PX_TO_1ST_OPEN_%_CHG",$A$1,$A$2)</f>
        <v>1.5</v>
      </c>
      <c r="J118" s="6">
        <v>10</v>
      </c>
      <c r="K118" s="6">
        <v>20000000</v>
      </c>
      <c r="L118" s="7"/>
      <c r="M118" s="7"/>
      <c r="N118" s="7"/>
    </row>
    <row r="119" spans="1:14" s="4" customFormat="1" ht="13.2" x14ac:dyDescent="0.25">
      <c r="A119" s="7" t="s">
        <v>467</v>
      </c>
      <c r="B119" s="7" t="s">
        <v>468</v>
      </c>
      <c r="C119" s="7" t="s">
        <v>469</v>
      </c>
      <c r="D119" s="6">
        <v>19.22</v>
      </c>
      <c r="E119" s="7" t="s">
        <v>470</v>
      </c>
      <c r="F119" s="7" t="s">
        <v>468</v>
      </c>
      <c r="G119" s="6">
        <v>1093980181.6800001</v>
      </c>
      <c r="H119" s="6">
        <f>_xll.BDP($A119,"IPO_OFFER_PX_TO_LAST_CLOSE_%_CHG",$A$1,$A$2)</f>
        <v>-23.12</v>
      </c>
      <c r="I119" s="6">
        <f>_xll.BDP($A119,"IPO_OFFER_PX_TO_1ST_OPEN_%_CHG",$A$1,$A$2)</f>
        <v>40</v>
      </c>
      <c r="J119" s="6">
        <v>25</v>
      </c>
      <c r="K119" s="6">
        <v>6556000</v>
      </c>
      <c r="L119" s="7" t="s">
        <v>21</v>
      </c>
      <c r="M119" s="7" t="s">
        <v>87</v>
      </c>
      <c r="N119" s="7" t="s">
        <v>88</v>
      </c>
    </row>
    <row r="120" spans="1:14" s="4" customFormat="1" ht="13.2" x14ac:dyDescent="0.25">
      <c r="A120" s="7" t="s">
        <v>471</v>
      </c>
      <c r="B120" s="7" t="s">
        <v>472</v>
      </c>
      <c r="C120" s="7" t="s">
        <v>469</v>
      </c>
      <c r="D120" s="6">
        <v>31.055</v>
      </c>
      <c r="E120" s="7" t="s">
        <v>473</v>
      </c>
      <c r="F120" s="7" t="s">
        <v>472</v>
      </c>
      <c r="G120" s="6">
        <v>1846852681.9549997</v>
      </c>
      <c r="H120" s="6">
        <f>_xll.BDP($A120,"IPO_OFFER_PX_TO_LAST_CLOSE_%_CHG",$A$1,$A$2)</f>
        <v>94.09375</v>
      </c>
      <c r="I120" s="6">
        <f>_xll.BDP($A120,"IPO_OFFER_PX_TO_1ST_OPEN_%_CHG",$A$1,$A$2)</f>
        <v>86.875</v>
      </c>
      <c r="J120" s="6">
        <v>16</v>
      </c>
      <c r="K120" s="6">
        <v>10800000</v>
      </c>
      <c r="L120" s="7" t="s">
        <v>21</v>
      </c>
      <c r="M120" s="7" t="s">
        <v>22</v>
      </c>
      <c r="N120" s="7" t="s">
        <v>22</v>
      </c>
    </row>
    <row r="121" spans="1:14" s="4" customFormat="1" ht="13.2" x14ac:dyDescent="0.25">
      <c r="A121" s="7" t="s">
        <v>474</v>
      </c>
      <c r="B121" s="7" t="s">
        <v>475</v>
      </c>
      <c r="C121" s="7" t="s">
        <v>469</v>
      </c>
      <c r="D121" s="6"/>
      <c r="E121" s="7" t="s">
        <v>476</v>
      </c>
      <c r="F121" s="7" t="s">
        <v>475</v>
      </c>
      <c r="G121" s="6"/>
      <c r="H121" s="6" t="str">
        <f>_xll.BDP($A121,"IPO_OFFER_PX_TO_LAST_CLOSE_%_CHG",$A$1,$A$2)</f>
        <v>#N/A N/A</v>
      </c>
      <c r="I121" s="6">
        <f>_xll.BDP($A121,"IPO_OFFER_PX_TO_1ST_OPEN_%_CHG",$A$1,$A$2)</f>
        <v>76.470590000000001</v>
      </c>
      <c r="J121" s="6">
        <v>17</v>
      </c>
      <c r="K121" s="6">
        <v>12000000</v>
      </c>
      <c r="L121" s="7"/>
      <c r="M121" s="7"/>
      <c r="N121" s="7"/>
    </row>
    <row r="122" spans="1:14" s="4" customFormat="1" ht="13.2" x14ac:dyDescent="0.25">
      <c r="A122" s="7" t="s">
        <v>477</v>
      </c>
      <c r="B122" s="7" t="s">
        <v>478</v>
      </c>
      <c r="C122" s="7" t="s">
        <v>469</v>
      </c>
      <c r="D122" s="6">
        <v>0.47320000000000001</v>
      </c>
      <c r="E122" s="7" t="s">
        <v>479</v>
      </c>
      <c r="F122" s="7" t="s">
        <v>478</v>
      </c>
      <c r="G122" s="6">
        <v>15811716.7936</v>
      </c>
      <c r="H122" s="6">
        <f>_xll.BDP($A122,"IPO_OFFER_PX_TO_LAST_CLOSE_%_CHG",$A$1,$A$2)</f>
        <v>-99.526799999999994</v>
      </c>
      <c r="I122" s="6">
        <f>_xll.BDP($A122,"IPO_OFFER_PX_TO_1ST_OPEN_%_CHG",$A$1,$A$2)</f>
        <v>-20</v>
      </c>
      <c r="J122" s="6">
        <v>5</v>
      </c>
      <c r="K122" s="6">
        <v>4800000</v>
      </c>
      <c r="L122" s="7" t="s">
        <v>21</v>
      </c>
      <c r="M122" s="7" t="s">
        <v>22</v>
      </c>
      <c r="N122" s="7" t="s">
        <v>22</v>
      </c>
    </row>
    <row r="123" spans="1:14" s="4" customFormat="1" ht="13.2" x14ac:dyDescent="0.25">
      <c r="A123" s="7" t="s">
        <v>480</v>
      </c>
      <c r="B123" s="7" t="s">
        <v>481</v>
      </c>
      <c r="C123" s="7" t="s">
        <v>469</v>
      </c>
      <c r="D123" s="6">
        <v>4.6399999999999997</v>
      </c>
      <c r="E123" s="7" t="s">
        <v>482</v>
      </c>
      <c r="F123" s="7" t="s">
        <v>481</v>
      </c>
      <c r="G123" s="6">
        <v>139265604.95999998</v>
      </c>
      <c r="H123" s="6" t="str">
        <f>_xll.BDP($A123,"IPO_OFFER_PX_TO_LAST_CLOSE_%_CHG",$A$1,$A$2)</f>
        <v>#N/A N/A</v>
      </c>
      <c r="I123" s="6" t="str">
        <f>_xll.BDP($A123,"IPO_OFFER_PX_TO_1ST_OPEN_%_CHG",$A$1,$A$2)</f>
        <v>#N/A N/A</v>
      </c>
      <c r="J123" s="6">
        <v>27.42</v>
      </c>
      <c r="K123" s="6">
        <v>2733200</v>
      </c>
      <c r="L123" s="7" t="s">
        <v>40</v>
      </c>
      <c r="M123" s="7" t="s">
        <v>41</v>
      </c>
      <c r="N123" s="7" t="s">
        <v>42</v>
      </c>
    </row>
    <row r="124" spans="1:14" s="4" customFormat="1" ht="13.2" x14ac:dyDescent="0.25">
      <c r="A124" s="7" t="s">
        <v>483</v>
      </c>
      <c r="B124" s="7" t="s">
        <v>484</v>
      </c>
      <c r="C124" s="7" t="s">
        <v>469</v>
      </c>
      <c r="D124" s="6">
        <v>0.27779999999999999</v>
      </c>
      <c r="E124" s="7" t="s">
        <v>485</v>
      </c>
      <c r="F124" s="7" t="s">
        <v>484</v>
      </c>
      <c r="G124" s="6">
        <v>43823718.672600001</v>
      </c>
      <c r="H124" s="6">
        <f>_xll.BDP($A124,"IPO_OFFER_PX_TO_LAST_CLOSE_%_CHG",$A$1,$A$2)</f>
        <v>-99.652749999999997</v>
      </c>
      <c r="I124" s="6">
        <f>_xll.BDP($A124,"IPO_OFFER_PX_TO_1ST_OPEN_%_CHG",$A$1,$A$2)</f>
        <v>12</v>
      </c>
      <c r="J124" s="6">
        <v>4</v>
      </c>
      <c r="K124" s="6">
        <v>6250000</v>
      </c>
      <c r="L124" s="7" t="s">
        <v>486</v>
      </c>
      <c r="M124" s="7" t="s">
        <v>487</v>
      </c>
      <c r="N124" s="7" t="s">
        <v>488</v>
      </c>
    </row>
    <row r="125" spans="1:14" s="4" customFormat="1" ht="13.2" x14ac:dyDescent="0.25">
      <c r="A125" s="7" t="s">
        <v>489</v>
      </c>
      <c r="B125" s="7" t="s">
        <v>490</v>
      </c>
      <c r="C125" s="7" t="s">
        <v>469</v>
      </c>
      <c r="D125" s="6"/>
      <c r="E125" s="7" t="s">
        <v>491</v>
      </c>
      <c r="F125" s="7" t="s">
        <v>490</v>
      </c>
      <c r="G125" s="6"/>
      <c r="H125" s="6" t="str">
        <f>_xll.BDP($A125,"IPO_OFFER_PX_TO_LAST_CLOSE_%_CHG",$A$1,$A$2)</f>
        <v>#N/A N/A</v>
      </c>
      <c r="I125" s="6">
        <f>_xll.BDP($A125,"IPO_OFFER_PX_TO_1ST_OPEN_%_CHG",$A$1,$A$2)</f>
        <v>23.809519999999999</v>
      </c>
      <c r="J125" s="6">
        <v>21</v>
      </c>
      <c r="K125" s="6">
        <v>36842100</v>
      </c>
      <c r="L125" s="7"/>
      <c r="M125" s="7"/>
      <c r="N125" s="7"/>
    </row>
    <row r="126" spans="1:14" s="4" customFormat="1" ht="13.2" x14ac:dyDescent="0.25">
      <c r="A126" s="7" t="s">
        <v>492</v>
      </c>
      <c r="B126" s="7" t="s">
        <v>493</v>
      </c>
      <c r="C126" s="7" t="s">
        <v>469</v>
      </c>
      <c r="D126" s="6">
        <v>66.25</v>
      </c>
      <c r="E126" s="7" t="s">
        <v>494</v>
      </c>
      <c r="F126" s="7" t="s">
        <v>493</v>
      </c>
      <c r="G126" s="6">
        <v>11572776177.5</v>
      </c>
      <c r="H126" s="6">
        <f>_xll.BDP($A126,"IPO_OFFER_PX_TO_LAST_CLOSE_%_CHG",$A$1,$A$2)</f>
        <v>188.04349999999999</v>
      </c>
      <c r="I126" s="6">
        <f>_xll.BDP($A126,"IPO_OFFER_PX_TO_1ST_OPEN_%_CHG",$A$1,$A$2)</f>
        <v>41.304349999999999</v>
      </c>
      <c r="J126" s="6">
        <v>23</v>
      </c>
      <c r="K126" s="6">
        <v>21052600</v>
      </c>
      <c r="L126" s="7" t="s">
        <v>102</v>
      </c>
      <c r="M126" s="7" t="s">
        <v>103</v>
      </c>
      <c r="N126" s="7" t="s">
        <v>104</v>
      </c>
    </row>
    <row r="127" spans="1:14" s="4" customFormat="1" ht="13.2" x14ac:dyDescent="0.25">
      <c r="A127" s="7" t="s">
        <v>495</v>
      </c>
      <c r="B127" s="7" t="s">
        <v>496</v>
      </c>
      <c r="C127" s="7" t="s">
        <v>469</v>
      </c>
      <c r="D127" s="6">
        <v>0.72040000000000004</v>
      </c>
      <c r="E127" s="7" t="s">
        <v>497</v>
      </c>
      <c r="F127" s="7" t="s">
        <v>496</v>
      </c>
      <c r="G127" s="6">
        <v>103557190.94840001</v>
      </c>
      <c r="H127" s="6">
        <f>_xll.BDP($A127,"IPO_OFFER_PX_TO_LAST_CLOSE_%_CHG",$A$1,$A$2)</f>
        <v>-97.331850000000003</v>
      </c>
      <c r="I127" s="6">
        <f>_xll.BDP($A127,"IPO_OFFER_PX_TO_1ST_OPEN_%_CHG",$A$1,$A$2)</f>
        <v>37.962960000000002</v>
      </c>
      <c r="J127" s="6">
        <v>27</v>
      </c>
      <c r="K127" s="6">
        <v>15555600</v>
      </c>
      <c r="L127" s="7" t="s">
        <v>21</v>
      </c>
      <c r="M127" s="7" t="s">
        <v>365</v>
      </c>
      <c r="N127" s="7" t="s">
        <v>365</v>
      </c>
    </row>
    <row r="128" spans="1:14" s="4" customFormat="1" ht="13.2" x14ac:dyDescent="0.25">
      <c r="A128" s="7" t="s">
        <v>498</v>
      </c>
      <c r="B128" s="7" t="s">
        <v>499</v>
      </c>
      <c r="C128" s="7" t="s">
        <v>500</v>
      </c>
      <c r="D128" s="6"/>
      <c r="E128" s="7" t="s">
        <v>501</v>
      </c>
      <c r="F128" s="7" t="s">
        <v>499</v>
      </c>
      <c r="G128" s="6"/>
      <c r="H128" s="6" t="str">
        <f>_xll.BDP($A128,"IPO_OFFER_PX_TO_LAST_CLOSE_%_CHG",$A$1,$A$2)</f>
        <v>#N/A N/A</v>
      </c>
      <c r="I128" s="6">
        <f>_xll.BDP($A128,"IPO_OFFER_PX_TO_1ST_OPEN_%_CHG",$A$1,$A$2)</f>
        <v>-1.5</v>
      </c>
      <c r="J128" s="6">
        <v>10</v>
      </c>
      <c r="K128" s="6">
        <v>25000000</v>
      </c>
      <c r="L128" s="7"/>
      <c r="M128" s="7"/>
      <c r="N128" s="7"/>
    </row>
    <row r="129" spans="1:14" s="4" customFormat="1" ht="13.2" x14ac:dyDescent="0.25">
      <c r="A129" s="7" t="s">
        <v>502</v>
      </c>
      <c r="B129" s="7" t="s">
        <v>503</v>
      </c>
      <c r="C129" s="7" t="s">
        <v>504</v>
      </c>
      <c r="D129" s="6"/>
      <c r="E129" s="7" t="s">
        <v>505</v>
      </c>
      <c r="F129" s="7" t="s">
        <v>503</v>
      </c>
      <c r="G129" s="6"/>
      <c r="H129" s="6" t="str">
        <f>_xll.BDP($A129,"IPO_OFFER_PX_TO_LAST_CLOSE_%_CHG",$A$1,$A$2)</f>
        <v>#N/A N/A</v>
      </c>
      <c r="I129" s="6" t="str">
        <f>_xll.BDP($A129,"IPO_OFFER_PX_TO_1ST_OPEN_%_CHG",$A$1,$A$2)</f>
        <v>#N/A N/A</v>
      </c>
      <c r="J129" s="6">
        <v>0.2</v>
      </c>
      <c r="K129" s="6">
        <v>2475000</v>
      </c>
      <c r="L129" s="7"/>
      <c r="M129" s="7"/>
      <c r="N129" s="7"/>
    </row>
    <row r="130" spans="1:14" s="4" customFormat="1" ht="13.2" x14ac:dyDescent="0.25">
      <c r="A130" s="7" t="s">
        <v>506</v>
      </c>
      <c r="B130" s="7" t="s">
        <v>507</v>
      </c>
      <c r="C130" s="7" t="s">
        <v>508</v>
      </c>
      <c r="D130" s="6">
        <v>0.86370000000000002</v>
      </c>
      <c r="E130" s="7" t="s">
        <v>509</v>
      </c>
      <c r="F130" s="7" t="s">
        <v>507</v>
      </c>
      <c r="G130" s="6">
        <v>38912022.172200002</v>
      </c>
      <c r="H130" s="6">
        <f>_xll.BDP($A130,"IPO_OFFER_PX_TO_LAST_CLOSE_%_CHG",$A$1,$A$2)</f>
        <v>-90.40334</v>
      </c>
      <c r="I130" s="6">
        <f>_xll.BDP($A130,"IPO_OFFER_PX_TO_1ST_OPEN_%_CHG",$A$1,$A$2)</f>
        <v>-8.3333329999999997</v>
      </c>
      <c r="J130" s="6">
        <v>9</v>
      </c>
      <c r="K130" s="6">
        <v>1850000</v>
      </c>
      <c r="L130" s="7" t="s">
        <v>21</v>
      </c>
      <c r="M130" s="7" t="s">
        <v>22</v>
      </c>
      <c r="N130" s="7" t="s">
        <v>22</v>
      </c>
    </row>
    <row r="131" spans="1:14" s="4" customFormat="1" ht="13.2" x14ac:dyDescent="0.25">
      <c r="A131" s="7" t="s">
        <v>510</v>
      </c>
      <c r="B131" s="7" t="s">
        <v>511</v>
      </c>
      <c r="C131" s="7" t="s">
        <v>512</v>
      </c>
      <c r="D131" s="6">
        <v>15.49</v>
      </c>
      <c r="E131" s="7" t="s">
        <v>513</v>
      </c>
      <c r="F131" s="7" t="s">
        <v>511</v>
      </c>
      <c r="G131" s="6">
        <v>318796065.34000003</v>
      </c>
      <c r="H131" s="6">
        <f>_xll.BDP($A131,"IPO_OFFER_PX_TO_LAST_CLOSE_%_CHG",$A$1,$A$2)</f>
        <v>-40.423079999999999</v>
      </c>
      <c r="I131" s="6">
        <f>_xll.BDP($A131,"IPO_OFFER_PX_TO_1ST_OPEN_%_CHG",$A$1,$A$2)</f>
        <v>7.6923069999999996</v>
      </c>
      <c r="J131" s="6">
        <v>26</v>
      </c>
      <c r="K131" s="6">
        <v>3906000</v>
      </c>
      <c r="L131" s="7" t="s">
        <v>514</v>
      </c>
      <c r="M131" s="7" t="s">
        <v>515</v>
      </c>
      <c r="N131" s="7" t="s">
        <v>515</v>
      </c>
    </row>
    <row r="132" spans="1:14" s="4" customFormat="1" ht="13.2" x14ac:dyDescent="0.25">
      <c r="A132" s="7" t="s">
        <v>516</v>
      </c>
      <c r="B132" s="7" t="s">
        <v>517</v>
      </c>
      <c r="C132" s="7" t="s">
        <v>518</v>
      </c>
      <c r="D132" s="6">
        <v>1.27</v>
      </c>
      <c r="E132" s="7" t="s">
        <v>519</v>
      </c>
      <c r="F132" s="7" t="s">
        <v>517</v>
      </c>
      <c r="G132" s="6">
        <v>5108121.6099999994</v>
      </c>
      <c r="H132" s="6">
        <f>_xll.BDP($A132,"IPO_OFFER_PX_TO_LAST_CLOSE_%_CHG",$A$1,$A$2)</f>
        <v>-99.992440000000002</v>
      </c>
      <c r="I132" s="6">
        <f>_xll.BDP($A132,"IPO_OFFER_PX_TO_1ST_OPEN_%_CHG",$A$1,$A$2)</f>
        <v>-17.142859999999999</v>
      </c>
      <c r="J132" s="6">
        <v>7</v>
      </c>
      <c r="K132" s="6">
        <v>2571400</v>
      </c>
      <c r="L132" s="7" t="s">
        <v>21</v>
      </c>
      <c r="M132" s="7" t="s">
        <v>22</v>
      </c>
      <c r="N132" s="7" t="s">
        <v>22</v>
      </c>
    </row>
    <row r="133" spans="1:14" s="4" customFormat="1" ht="13.2" x14ac:dyDescent="0.25">
      <c r="A133" s="7" t="s">
        <v>520</v>
      </c>
      <c r="B133" s="7" t="s">
        <v>521</v>
      </c>
      <c r="C133" s="7" t="s">
        <v>522</v>
      </c>
      <c r="D133" s="6"/>
      <c r="E133" s="7" t="s">
        <v>523</v>
      </c>
      <c r="F133" s="7" t="s">
        <v>521</v>
      </c>
      <c r="G133" s="6"/>
      <c r="H133" s="6" t="str">
        <f>_xll.BDP($A133,"IPO_OFFER_PX_TO_LAST_CLOSE_%_CHG",$A$1,$A$2)</f>
        <v>#N/A N/A</v>
      </c>
      <c r="I133" s="6">
        <f>_xll.BDP($A133,"IPO_OFFER_PX_TO_1ST_OPEN_%_CHG",$A$1,$A$2)</f>
        <v>5.8421050000000001</v>
      </c>
      <c r="J133" s="6">
        <v>19</v>
      </c>
      <c r="K133" s="6">
        <v>2000000</v>
      </c>
      <c r="L133" s="7"/>
      <c r="M133" s="7"/>
      <c r="N133" s="7"/>
    </row>
    <row r="134" spans="1:14" s="4" customFormat="1" ht="13.2" x14ac:dyDescent="0.25">
      <c r="A134" s="7" t="s">
        <v>524</v>
      </c>
      <c r="B134" s="7" t="s">
        <v>525</v>
      </c>
      <c r="C134" s="7" t="s">
        <v>526</v>
      </c>
      <c r="D134" s="6">
        <v>0.77</v>
      </c>
      <c r="E134" s="7" t="s">
        <v>527</v>
      </c>
      <c r="F134" s="7" t="s">
        <v>525</v>
      </c>
      <c r="G134" s="6">
        <v>28947568.650000002</v>
      </c>
      <c r="H134" s="6">
        <f>_xll.BDP($A134,"IPO_OFFER_PX_TO_LAST_CLOSE_%_CHG",$A$1,$A$2)</f>
        <v>-82.888890000000004</v>
      </c>
      <c r="I134" s="6" t="str">
        <f>_xll.BDP($A134,"IPO_OFFER_PX_TO_1ST_OPEN_%_CHG",$A$1,$A$2)</f>
        <v>#N/A N/A</v>
      </c>
      <c r="J134" s="6">
        <v>4.5</v>
      </c>
      <c r="K134" s="6">
        <v>2500000</v>
      </c>
      <c r="L134" s="7" t="s">
        <v>21</v>
      </c>
      <c r="M134" s="7" t="s">
        <v>87</v>
      </c>
      <c r="N134" s="7" t="s">
        <v>88</v>
      </c>
    </row>
    <row r="135" spans="1:14" s="4" customFormat="1" ht="13.2" x14ac:dyDescent="0.25">
      <c r="A135" s="7" t="s">
        <v>528</v>
      </c>
      <c r="B135" s="7" t="s">
        <v>529</v>
      </c>
      <c r="C135" s="7" t="s">
        <v>530</v>
      </c>
      <c r="D135" s="6">
        <v>12.22</v>
      </c>
      <c r="E135" s="7" t="s">
        <v>531</v>
      </c>
      <c r="F135" s="7" t="s">
        <v>529</v>
      </c>
      <c r="G135" s="6">
        <v>699754141.06000006</v>
      </c>
      <c r="H135" s="6">
        <f>_xll.BDP($A135,"IPO_OFFER_PX_TO_LAST_CLOSE_%_CHG",$A$1,$A$2)</f>
        <v>-2.2399979999999999</v>
      </c>
      <c r="I135" s="6">
        <f>_xll.BDP($A135,"IPO_OFFER_PX_TO_1ST_OPEN_%_CHG",$A$1,$A$2)</f>
        <v>30</v>
      </c>
      <c r="J135" s="6">
        <v>12.5</v>
      </c>
      <c r="K135" s="6">
        <v>6400000</v>
      </c>
      <c r="L135" s="7" t="s">
        <v>21</v>
      </c>
      <c r="M135" s="7" t="s">
        <v>22</v>
      </c>
      <c r="N135" s="7" t="s">
        <v>22</v>
      </c>
    </row>
    <row r="136" spans="1:14" s="4" customFormat="1" ht="13.2" x14ac:dyDescent="0.25">
      <c r="A136" s="7" t="s">
        <v>532</v>
      </c>
      <c r="B136" s="7" t="s">
        <v>533</v>
      </c>
      <c r="C136" s="7" t="s">
        <v>534</v>
      </c>
      <c r="D136" s="6">
        <v>0.68530000000000002</v>
      </c>
      <c r="E136" s="7" t="s">
        <v>535</v>
      </c>
      <c r="F136" s="7" t="s">
        <v>533</v>
      </c>
      <c r="G136" s="6">
        <v>201894486.85559997</v>
      </c>
      <c r="H136" s="6">
        <f>_xll.BDP($A136,"IPO_OFFER_PX_TO_LAST_CLOSE_%_CHG",$A$1,$A$2)</f>
        <v>-95.968829999999997</v>
      </c>
      <c r="I136" s="6">
        <f>_xll.BDP($A136,"IPO_OFFER_PX_TO_1ST_OPEN_%_CHG",$A$1,$A$2)</f>
        <v>23.529409999999999</v>
      </c>
      <c r="J136" s="6">
        <v>17</v>
      </c>
      <c r="K136" s="6">
        <v>18200000</v>
      </c>
      <c r="L136" s="7" t="s">
        <v>21</v>
      </c>
      <c r="M136" s="7" t="s">
        <v>22</v>
      </c>
      <c r="N136" s="7" t="s">
        <v>22</v>
      </c>
    </row>
    <row r="137" spans="1:14" s="4" customFormat="1" ht="13.2" x14ac:dyDescent="0.25">
      <c r="A137" s="7" t="s">
        <v>536</v>
      </c>
      <c r="B137" s="7" t="s">
        <v>537</v>
      </c>
      <c r="C137" s="7" t="s">
        <v>534</v>
      </c>
      <c r="D137" s="6"/>
      <c r="E137" s="7" t="s">
        <v>538</v>
      </c>
      <c r="F137" s="7" t="s">
        <v>537</v>
      </c>
      <c r="G137" s="6"/>
      <c r="H137" s="6" t="str">
        <f>_xll.BDP($A137,"IPO_OFFER_PX_TO_LAST_CLOSE_%_CHG",$A$1,$A$2)</f>
        <v>#N/A N/A</v>
      </c>
      <c r="I137" s="6" t="str">
        <f>_xll.BDP($A137,"IPO_OFFER_PX_TO_1ST_OPEN_%_CHG",$A$1,$A$2)</f>
        <v>#N/A N/A</v>
      </c>
      <c r="J137" s="6">
        <v>20</v>
      </c>
      <c r="K137" s="6">
        <v>15000000</v>
      </c>
      <c r="L137" s="7"/>
      <c r="M137" s="7"/>
      <c r="N137" s="7"/>
    </row>
    <row r="138" spans="1:14" s="4" customFormat="1" ht="13.2" x14ac:dyDescent="0.25">
      <c r="A138" s="7" t="s">
        <v>539</v>
      </c>
      <c r="B138" s="7" t="s">
        <v>540</v>
      </c>
      <c r="C138" s="7" t="s">
        <v>541</v>
      </c>
      <c r="D138" s="6"/>
      <c r="E138" s="7" t="s">
        <v>542</v>
      </c>
      <c r="F138" s="7" t="s">
        <v>540</v>
      </c>
      <c r="G138" s="6"/>
      <c r="H138" s="6" t="str">
        <f>_xll.BDP($A138,"IPO_OFFER_PX_TO_LAST_CLOSE_%_CHG",$A$1,$A$2)</f>
        <v>#N/A N/A</v>
      </c>
      <c r="I138" s="6">
        <f>_xll.BDP($A138,"IPO_OFFER_PX_TO_1ST_OPEN_%_CHG",$A$1,$A$2)</f>
        <v>21.428570000000001</v>
      </c>
      <c r="J138" s="6">
        <v>14</v>
      </c>
      <c r="K138" s="6">
        <v>17857100</v>
      </c>
      <c r="L138" s="7"/>
      <c r="M138" s="7"/>
      <c r="N138" s="7"/>
    </row>
    <row r="139" spans="1:14" s="4" customFormat="1" ht="13.2" x14ac:dyDescent="0.25">
      <c r="A139" s="7" t="s">
        <v>543</v>
      </c>
      <c r="B139" s="7" t="s">
        <v>544</v>
      </c>
      <c r="C139" s="7" t="s">
        <v>541</v>
      </c>
      <c r="D139" s="6"/>
      <c r="E139" s="7" t="s">
        <v>545</v>
      </c>
      <c r="F139" s="7" t="s">
        <v>544</v>
      </c>
      <c r="G139" s="6"/>
      <c r="H139" s="6" t="str">
        <f>_xll.BDP($A139,"IPO_OFFER_PX_TO_LAST_CLOSE_%_CHG",$A$1,$A$2)</f>
        <v>#N/A N/A</v>
      </c>
      <c r="I139" s="6">
        <f>_xll.BDP($A139,"IPO_OFFER_PX_TO_1ST_OPEN_%_CHG",$A$1,$A$2)</f>
        <v>11.764709999999999</v>
      </c>
      <c r="J139" s="6">
        <v>17</v>
      </c>
      <c r="K139" s="6">
        <v>10600000</v>
      </c>
      <c r="L139" s="7"/>
      <c r="M139" s="7"/>
      <c r="N139" s="7"/>
    </row>
    <row r="140" spans="1:14" s="4" customFormat="1" ht="13.2" x14ac:dyDescent="0.25">
      <c r="A140" s="7" t="s">
        <v>546</v>
      </c>
      <c r="B140" s="7" t="s">
        <v>547</v>
      </c>
      <c r="C140" s="7" t="s">
        <v>541</v>
      </c>
      <c r="D140" s="6">
        <v>1.74</v>
      </c>
      <c r="E140" s="7" t="s">
        <v>548</v>
      </c>
      <c r="F140" s="7" t="s">
        <v>547</v>
      </c>
      <c r="G140" s="6">
        <v>46573308.059999995</v>
      </c>
      <c r="H140" s="6">
        <f>_xll.BDP($A140,"IPO_OFFER_PX_TO_LAST_CLOSE_%_CHG",$A$1,$A$2)</f>
        <v>-55.03875</v>
      </c>
      <c r="I140" s="6">
        <f>_xll.BDP($A140,"IPO_OFFER_PX_TO_1ST_OPEN_%_CHG",$A$1,$A$2)</f>
        <v>70</v>
      </c>
      <c r="J140" s="6">
        <v>0.1</v>
      </c>
      <c r="K140" s="6">
        <v>25000000</v>
      </c>
      <c r="L140" s="7" t="s">
        <v>40</v>
      </c>
      <c r="M140" s="7" t="s">
        <v>41</v>
      </c>
      <c r="N140" s="7" t="s">
        <v>275</v>
      </c>
    </row>
    <row r="141" spans="1:14" s="4" customFormat="1" ht="13.2" x14ac:dyDescent="0.25">
      <c r="A141" s="7" t="s">
        <v>549</v>
      </c>
      <c r="B141" s="7" t="s">
        <v>550</v>
      </c>
      <c r="C141" s="7" t="s">
        <v>541</v>
      </c>
      <c r="D141" s="6">
        <v>37.39</v>
      </c>
      <c r="E141" s="7" t="s">
        <v>551</v>
      </c>
      <c r="F141" s="7" t="s">
        <v>550</v>
      </c>
      <c r="G141" s="6">
        <v>501321530.56000006</v>
      </c>
      <c r="H141" s="6">
        <f>_xll.BDP($A141,"IPO_OFFER_PX_TO_LAST_CLOSE_%_CHG",$A$1,$A$2)</f>
        <v>123.2239</v>
      </c>
      <c r="I141" s="6" t="str">
        <f>_xll.BDP($A141,"IPO_OFFER_PX_TO_1ST_OPEN_%_CHG",$A$1,$A$2)</f>
        <v>#N/A N/A</v>
      </c>
      <c r="J141" s="6">
        <v>33.5</v>
      </c>
      <c r="K141" s="6">
        <v>1000000</v>
      </c>
      <c r="L141" s="7" t="s">
        <v>66</v>
      </c>
      <c r="M141" s="7" t="s">
        <v>96</v>
      </c>
      <c r="N141" s="7" t="s">
        <v>97</v>
      </c>
    </row>
    <row r="142" spans="1:14" s="4" customFormat="1" ht="13.2" x14ac:dyDescent="0.25">
      <c r="A142" s="7" t="s">
        <v>552</v>
      </c>
      <c r="B142" s="7" t="s">
        <v>553</v>
      </c>
      <c r="C142" s="7" t="s">
        <v>554</v>
      </c>
      <c r="D142" s="6"/>
      <c r="E142" s="7" t="s">
        <v>555</v>
      </c>
      <c r="F142" s="7" t="s">
        <v>553</v>
      </c>
      <c r="G142" s="6">
        <v>23741943.997500002</v>
      </c>
      <c r="H142" s="6">
        <f>_xll.BDP($A142,"IPO_OFFER_PX_TO_LAST_CLOSE_%_CHG",$A$1,$A$2)</f>
        <v>-91.041659999999993</v>
      </c>
      <c r="I142" s="6" t="str">
        <f>_xll.BDP($A142,"IPO_OFFER_PX_TO_1ST_OPEN_%_CHG",$A$1,$A$2)</f>
        <v>#N/A N/A</v>
      </c>
      <c r="J142" s="6">
        <v>3.6</v>
      </c>
      <c r="K142" s="6">
        <v>2500000</v>
      </c>
      <c r="L142" s="7" t="s">
        <v>174</v>
      </c>
      <c r="M142" s="7" t="s">
        <v>556</v>
      </c>
      <c r="N142" s="7" t="s">
        <v>557</v>
      </c>
    </row>
    <row r="143" spans="1:14" s="4" customFormat="1" ht="13.2" x14ac:dyDescent="0.25">
      <c r="A143" s="7" t="s">
        <v>558</v>
      </c>
      <c r="B143" s="7" t="s">
        <v>559</v>
      </c>
      <c r="C143" s="7" t="s">
        <v>560</v>
      </c>
      <c r="D143" s="6">
        <v>1.83</v>
      </c>
      <c r="E143" s="7" t="s">
        <v>561</v>
      </c>
      <c r="F143" s="7" t="s">
        <v>559</v>
      </c>
      <c r="G143" s="6">
        <v>16535384.069999998</v>
      </c>
      <c r="H143" s="6">
        <f>_xll.BDP($A143,"IPO_OFFER_PX_TO_LAST_CLOSE_%_CHG",$A$1,$A$2)</f>
        <v>-39</v>
      </c>
      <c r="I143" s="6" t="str">
        <f>_xll.BDP($A143,"IPO_OFFER_PX_TO_1ST_OPEN_%_CHG",$A$1,$A$2)</f>
        <v>#N/A N/A</v>
      </c>
      <c r="J143" s="6">
        <v>3</v>
      </c>
      <c r="K143" s="6">
        <v>1159400</v>
      </c>
      <c r="L143" s="7" t="s">
        <v>40</v>
      </c>
      <c r="M143" s="7" t="s">
        <v>136</v>
      </c>
      <c r="N143" s="7" t="s">
        <v>562</v>
      </c>
    </row>
    <row r="144" spans="1:14" s="4" customFormat="1" ht="13.2" x14ac:dyDescent="0.25">
      <c r="A144" s="7" t="s">
        <v>563</v>
      </c>
      <c r="B144" s="7" t="s">
        <v>564</v>
      </c>
      <c r="C144" s="7" t="s">
        <v>565</v>
      </c>
      <c r="D144" s="6">
        <v>4.29</v>
      </c>
      <c r="E144" s="7" t="s">
        <v>566</v>
      </c>
      <c r="F144" s="7" t="s">
        <v>564</v>
      </c>
      <c r="G144" s="6">
        <v>277551854.57999998</v>
      </c>
      <c r="H144" s="6">
        <f>_xll.BDP($A144,"IPO_OFFER_PX_TO_LAST_CLOSE_%_CHG",$A$1,$A$2)</f>
        <v>-71.400000000000006</v>
      </c>
      <c r="I144" s="6">
        <f>_xll.BDP($A144,"IPO_OFFER_PX_TO_1ST_OPEN_%_CHG",$A$1,$A$2)</f>
        <v>30</v>
      </c>
      <c r="J144" s="6">
        <v>15</v>
      </c>
      <c r="K144" s="6">
        <v>7500000</v>
      </c>
      <c r="L144" s="7" t="s">
        <v>21</v>
      </c>
      <c r="M144" s="7" t="s">
        <v>22</v>
      </c>
      <c r="N144" s="7" t="s">
        <v>22</v>
      </c>
    </row>
    <row r="145" spans="1:14" s="4" customFormat="1" ht="13.2" x14ac:dyDescent="0.25">
      <c r="A145" s="7" t="s">
        <v>567</v>
      </c>
      <c r="B145" s="7" t="s">
        <v>568</v>
      </c>
      <c r="C145" s="7" t="s">
        <v>565</v>
      </c>
      <c r="D145" s="6">
        <v>0.81820000000000004</v>
      </c>
      <c r="E145" s="7" t="s">
        <v>569</v>
      </c>
      <c r="F145" s="7" t="s">
        <v>568</v>
      </c>
      <c r="G145" s="6">
        <v>177548480.3432</v>
      </c>
      <c r="H145" s="6">
        <f>_xll.BDP($A145,"IPO_OFFER_PX_TO_LAST_CLOSE_%_CHG",$A$1,$A$2)</f>
        <v>-94.545330000000007</v>
      </c>
      <c r="I145" s="6">
        <f>_xll.BDP($A145,"IPO_OFFER_PX_TO_1ST_OPEN_%_CHG",$A$1,$A$2)</f>
        <v>30</v>
      </c>
      <c r="J145" s="6">
        <v>15</v>
      </c>
      <c r="K145" s="6">
        <v>12000000</v>
      </c>
      <c r="L145" s="7" t="s">
        <v>21</v>
      </c>
      <c r="M145" s="7" t="s">
        <v>22</v>
      </c>
      <c r="N145" s="7" t="s">
        <v>22</v>
      </c>
    </row>
    <row r="146" spans="1:14" s="4" customFormat="1" ht="13.2" x14ac:dyDescent="0.25">
      <c r="A146" s="7" t="s">
        <v>570</v>
      </c>
      <c r="B146" s="7" t="s">
        <v>571</v>
      </c>
      <c r="C146" s="7" t="s">
        <v>565</v>
      </c>
      <c r="D146" s="6">
        <v>1.17</v>
      </c>
      <c r="E146" s="7" t="s">
        <v>572</v>
      </c>
      <c r="F146" s="7" t="s">
        <v>571</v>
      </c>
      <c r="G146" s="6">
        <v>125332356.23999998</v>
      </c>
      <c r="H146" s="6">
        <f>_xll.BDP($A146,"IPO_OFFER_PX_TO_LAST_CLOSE_%_CHG",$A$1,$A$2)</f>
        <v>-91</v>
      </c>
      <c r="I146" s="6" t="str">
        <f>_xll.BDP($A146,"IPO_OFFER_PX_TO_1ST_OPEN_%_CHG",$A$1,$A$2)</f>
        <v>#N/A N/A</v>
      </c>
      <c r="J146" s="6">
        <v>13</v>
      </c>
      <c r="K146" s="6">
        <v>13500000</v>
      </c>
      <c r="L146" s="7" t="s">
        <v>21</v>
      </c>
      <c r="M146" s="7" t="s">
        <v>573</v>
      </c>
      <c r="N146" s="7" t="s">
        <v>573</v>
      </c>
    </row>
    <row r="147" spans="1:14" s="4" customFormat="1" ht="13.2" x14ac:dyDescent="0.25">
      <c r="A147" s="7" t="s">
        <v>574</v>
      </c>
      <c r="B147" s="7" t="s">
        <v>575</v>
      </c>
      <c r="C147" s="7" t="s">
        <v>565</v>
      </c>
      <c r="D147" s="6">
        <v>5.61</v>
      </c>
      <c r="E147" s="7" t="s">
        <v>576</v>
      </c>
      <c r="F147" s="7" t="s">
        <v>575</v>
      </c>
      <c r="G147" s="6">
        <v>232234976.49000001</v>
      </c>
      <c r="H147" s="6">
        <f>_xll.BDP($A147,"IPO_OFFER_PX_TO_LAST_CLOSE_%_CHG",$A$1,$A$2)</f>
        <v>-64.9375</v>
      </c>
      <c r="I147" s="6">
        <f>_xll.BDP($A147,"IPO_OFFER_PX_TO_1ST_OPEN_%_CHG",$A$1,$A$2)</f>
        <v>9.375</v>
      </c>
      <c r="J147" s="6">
        <v>16</v>
      </c>
      <c r="K147" s="6">
        <v>7350000</v>
      </c>
      <c r="L147" s="7" t="s">
        <v>21</v>
      </c>
      <c r="M147" s="7" t="s">
        <v>87</v>
      </c>
      <c r="N147" s="7" t="s">
        <v>577</v>
      </c>
    </row>
    <row r="148" spans="1:14" s="4" customFormat="1" ht="13.2" x14ac:dyDescent="0.25">
      <c r="A148" s="7" t="s">
        <v>578</v>
      </c>
      <c r="B148" s="7" t="s">
        <v>579</v>
      </c>
      <c r="C148" s="7" t="s">
        <v>565</v>
      </c>
      <c r="D148" s="6"/>
      <c r="E148" s="7" t="s">
        <v>580</v>
      </c>
      <c r="F148" s="7" t="s">
        <v>579</v>
      </c>
      <c r="G148" s="6"/>
      <c r="H148" s="6" t="str">
        <f>_xll.BDP($A148,"IPO_OFFER_PX_TO_LAST_CLOSE_%_CHG",$A$1,$A$2)</f>
        <v>#N/A N/A</v>
      </c>
      <c r="I148" s="6">
        <f>_xll.BDP($A148,"IPO_OFFER_PX_TO_1ST_OPEN_%_CHG",$A$1,$A$2)</f>
        <v>30</v>
      </c>
      <c r="J148" s="6">
        <v>17</v>
      </c>
      <c r="K148" s="6">
        <v>7400000</v>
      </c>
      <c r="L148" s="7"/>
      <c r="M148" s="7"/>
      <c r="N148" s="7"/>
    </row>
    <row r="149" spans="1:14" s="4" customFormat="1" ht="13.2" x14ac:dyDescent="0.25">
      <c r="A149" s="7" t="s">
        <v>581</v>
      </c>
      <c r="B149" s="7" t="s">
        <v>582</v>
      </c>
      <c r="C149" s="7" t="s">
        <v>565</v>
      </c>
      <c r="D149" s="6">
        <v>1.26</v>
      </c>
      <c r="E149" s="7" t="s">
        <v>583</v>
      </c>
      <c r="F149" s="7" t="s">
        <v>582</v>
      </c>
      <c r="G149" s="6">
        <v>12407332.140000001</v>
      </c>
      <c r="H149" s="6">
        <f>_xll.BDP($A149,"IPO_OFFER_PX_TO_LAST_CLOSE_%_CHG",$A$1,$A$2)</f>
        <v>-99.58</v>
      </c>
      <c r="I149" s="6">
        <f>_xll.BDP($A149,"IPO_OFFER_PX_TO_1ST_OPEN_%_CHG",$A$1,$A$2)</f>
        <v>0</v>
      </c>
      <c r="J149" s="6">
        <v>10</v>
      </c>
      <c r="K149" s="6">
        <v>4000000</v>
      </c>
      <c r="L149" s="7" t="s">
        <v>21</v>
      </c>
      <c r="M149" s="7" t="s">
        <v>22</v>
      </c>
      <c r="N149" s="7" t="s">
        <v>22</v>
      </c>
    </row>
    <row r="150" spans="1:14" s="4" customFormat="1" ht="13.2" x14ac:dyDescent="0.25">
      <c r="A150" s="7" t="s">
        <v>584</v>
      </c>
      <c r="B150" s="7" t="s">
        <v>585</v>
      </c>
      <c r="C150" s="7" t="s">
        <v>565</v>
      </c>
      <c r="D150" s="6">
        <v>0.68630000000000002</v>
      </c>
      <c r="E150" s="7" t="s">
        <v>586</v>
      </c>
      <c r="F150" s="7" t="s">
        <v>585</v>
      </c>
      <c r="G150" s="6">
        <v>93583532.399299994</v>
      </c>
      <c r="H150" s="6">
        <f>_xll.BDP($A150,"IPO_OFFER_PX_TO_LAST_CLOSE_%_CHG",$A$1,$A$2)</f>
        <v>-93.760909999999996</v>
      </c>
      <c r="I150" s="6">
        <f>_xll.BDP($A150,"IPO_OFFER_PX_TO_1ST_OPEN_%_CHG",$A$1,$A$2)</f>
        <v>2.3636360000000001</v>
      </c>
      <c r="J150" s="6">
        <v>11</v>
      </c>
      <c r="K150" s="6">
        <v>6666700</v>
      </c>
      <c r="L150" s="7" t="s">
        <v>21</v>
      </c>
      <c r="M150" s="7" t="s">
        <v>62</v>
      </c>
      <c r="N150" s="7" t="s">
        <v>62</v>
      </c>
    </row>
    <row r="151" spans="1:14" s="4" customFormat="1" ht="13.2" x14ac:dyDescent="0.25">
      <c r="A151" s="7" t="s">
        <v>587</v>
      </c>
      <c r="B151" s="7" t="s">
        <v>588</v>
      </c>
      <c r="C151" s="7" t="s">
        <v>589</v>
      </c>
      <c r="D151" s="6">
        <v>99.28</v>
      </c>
      <c r="E151" s="7" t="s">
        <v>590</v>
      </c>
      <c r="F151" s="7" t="s">
        <v>588</v>
      </c>
      <c r="G151" s="6">
        <v>89444361971.039993</v>
      </c>
      <c r="H151" s="6">
        <f>_xll.BDP($A151,"IPO_OFFER_PX_TO_LAST_CLOSE_%_CHG",$A$1,$A$2)</f>
        <v>161.26320000000001</v>
      </c>
      <c r="I151" s="6">
        <f>_xll.BDP($A151,"IPO_OFFER_PX_TO_1ST_OPEN_%_CHG",$A$1,$A$2)</f>
        <v>0</v>
      </c>
      <c r="J151" s="6">
        <v>38</v>
      </c>
      <c r="K151" s="6">
        <v>55000000</v>
      </c>
      <c r="L151" s="7" t="s">
        <v>66</v>
      </c>
      <c r="M151" s="7" t="s">
        <v>116</v>
      </c>
      <c r="N151" s="7" t="s">
        <v>591</v>
      </c>
    </row>
    <row r="152" spans="1:14" s="4" customFormat="1" ht="13.2" x14ac:dyDescent="0.25">
      <c r="A152" s="7" t="s">
        <v>592</v>
      </c>
      <c r="B152" s="7" t="s">
        <v>593</v>
      </c>
      <c r="C152" s="7" t="s">
        <v>589</v>
      </c>
      <c r="D152" s="6"/>
      <c r="E152" s="7" t="s">
        <v>594</v>
      </c>
      <c r="F152" s="7" t="s">
        <v>593</v>
      </c>
      <c r="G152" s="6"/>
      <c r="H152" s="6" t="str">
        <f>_xll.BDP($A152,"IPO_OFFER_PX_TO_LAST_CLOSE_%_CHG",$A$1,$A$2)</f>
        <v>#N/A N/A</v>
      </c>
      <c r="I152" s="6">
        <f>_xll.BDP($A152,"IPO_OFFER_PX_TO_1ST_OPEN_%_CHG",$A$1,$A$2)</f>
        <v>93.333340000000007</v>
      </c>
      <c r="J152" s="6">
        <v>15</v>
      </c>
      <c r="K152" s="6">
        <v>12133300</v>
      </c>
      <c r="L152" s="7"/>
      <c r="M152" s="7"/>
      <c r="N152" s="7"/>
    </row>
    <row r="153" spans="1:14" s="4" customFormat="1" ht="13.2" x14ac:dyDescent="0.25">
      <c r="A153" s="7" t="s">
        <v>595</v>
      </c>
      <c r="B153" s="7" t="s">
        <v>596</v>
      </c>
      <c r="C153" s="7" t="s">
        <v>589</v>
      </c>
      <c r="D153" s="6">
        <v>123.96</v>
      </c>
      <c r="E153" s="7" t="s">
        <v>597</v>
      </c>
      <c r="F153" s="7" t="s">
        <v>596</v>
      </c>
      <c r="G153" s="6">
        <v>9834347510.1599979</v>
      </c>
      <c r="H153" s="6" t="str">
        <f>_xll.BDP($A153,"IPO_OFFER_PX_TO_LAST_CLOSE_%_CHG",$A$1,$A$2)</f>
        <v>#N/A N/A</v>
      </c>
      <c r="I153" s="6">
        <f>_xll.BDP($A153,"IPO_OFFER_PX_TO_1ST_OPEN_%_CHG",$A$1,$A$2)</f>
        <v>6.4705880000000002</v>
      </c>
      <c r="J153" s="6">
        <v>17</v>
      </c>
      <c r="K153" s="6">
        <v>9150000</v>
      </c>
      <c r="L153" s="7"/>
      <c r="M153" s="7"/>
      <c r="N153" s="7"/>
    </row>
    <row r="154" spans="1:14" s="4" customFormat="1" ht="13.2" x14ac:dyDescent="0.25">
      <c r="A154" s="7" t="s">
        <v>598</v>
      </c>
      <c r="B154" s="7" t="s">
        <v>599</v>
      </c>
      <c r="C154" s="7" t="s">
        <v>589</v>
      </c>
      <c r="D154" s="6">
        <v>16.71</v>
      </c>
      <c r="E154" s="7" t="s">
        <v>600</v>
      </c>
      <c r="F154" s="7" t="s">
        <v>599</v>
      </c>
      <c r="G154" s="6">
        <v>88531869.269999996</v>
      </c>
      <c r="H154" s="6">
        <f>_xll.BDP($A154,"IPO_OFFER_PX_TO_LAST_CLOSE_%_CHG",$A$1,$A$2)</f>
        <v>-83.932689999999994</v>
      </c>
      <c r="I154" s="6">
        <f>_xll.BDP($A154,"IPO_OFFER_PX_TO_1ST_OPEN_%_CHG",$A$1,$A$2)</f>
        <v>14.76923</v>
      </c>
      <c r="J154" s="6">
        <v>13</v>
      </c>
      <c r="K154" s="6">
        <v>6200000</v>
      </c>
      <c r="L154" s="7" t="s">
        <v>21</v>
      </c>
      <c r="M154" s="7" t="s">
        <v>22</v>
      </c>
      <c r="N154" s="7" t="s">
        <v>22</v>
      </c>
    </row>
    <row r="155" spans="1:14" s="4" customFormat="1" ht="13.2" x14ac:dyDescent="0.25">
      <c r="A155" s="7" t="s">
        <v>601</v>
      </c>
      <c r="B155" s="7" t="s">
        <v>602</v>
      </c>
      <c r="C155" s="7" t="s">
        <v>589</v>
      </c>
      <c r="D155" s="6">
        <v>66.86</v>
      </c>
      <c r="E155" s="7" t="s">
        <v>603</v>
      </c>
      <c r="F155" s="7" t="s">
        <v>602</v>
      </c>
      <c r="G155" s="6">
        <v>185991616.01999998</v>
      </c>
      <c r="H155" s="6">
        <f>_xll.BDP($A155,"IPO_OFFER_PX_TO_LAST_CLOSE_%_CHG",$A$1,$A$2)</f>
        <v>-92.571110000000004</v>
      </c>
      <c r="I155" s="6">
        <f>_xll.BDP($A155,"IPO_OFFER_PX_TO_1ST_OPEN_%_CHG",$A$1,$A$2)</f>
        <v>22.22222</v>
      </c>
      <c r="J155" s="6">
        <v>18</v>
      </c>
      <c r="K155" s="6">
        <v>23529400</v>
      </c>
      <c r="L155" s="7" t="s">
        <v>102</v>
      </c>
      <c r="M155" s="7" t="s">
        <v>604</v>
      </c>
      <c r="N155" s="7" t="s">
        <v>605</v>
      </c>
    </row>
    <row r="156" spans="1:14" s="4" customFormat="1" ht="13.2" x14ac:dyDescent="0.25">
      <c r="A156" s="7" t="s">
        <v>606</v>
      </c>
      <c r="B156" s="7" t="s">
        <v>607</v>
      </c>
      <c r="C156" s="7" t="s">
        <v>608</v>
      </c>
      <c r="D156" s="6"/>
      <c r="E156" s="7" t="s">
        <v>609</v>
      </c>
      <c r="F156" s="7" t="s">
        <v>607</v>
      </c>
      <c r="G156" s="6"/>
      <c r="H156" s="6" t="str">
        <f>_xll.BDP($A156,"IPO_OFFER_PX_TO_LAST_CLOSE_%_CHG",$A$1,$A$2)</f>
        <v>#N/A N/A</v>
      </c>
      <c r="I156" s="6">
        <f>_xll.BDP($A156,"IPO_OFFER_PX_TO_1ST_OPEN_%_CHG",$A$1,$A$2)</f>
        <v>1.9230769999999999</v>
      </c>
      <c r="J156" s="6">
        <v>26</v>
      </c>
      <c r="K156" s="6">
        <v>13200000</v>
      </c>
      <c r="L156" s="7"/>
      <c r="M156" s="7"/>
      <c r="N156" s="7"/>
    </row>
    <row r="157" spans="1:14" s="4" customFormat="1" ht="13.2" x14ac:dyDescent="0.25">
      <c r="A157" s="7" t="s">
        <v>610</v>
      </c>
      <c r="B157" s="7" t="s">
        <v>611</v>
      </c>
      <c r="C157" s="7" t="s">
        <v>608</v>
      </c>
      <c r="D157" s="6">
        <v>133.88999999999999</v>
      </c>
      <c r="E157" s="7" t="s">
        <v>612</v>
      </c>
      <c r="F157" s="7" t="s">
        <v>611</v>
      </c>
      <c r="G157" s="6">
        <v>6238352435.1299992</v>
      </c>
      <c r="H157" s="6">
        <f>_xll.BDP($A157,"IPO_OFFER_PX_TO_LAST_CLOSE_%_CHG",$A$1,$A$2)</f>
        <v>31.264710000000001</v>
      </c>
      <c r="I157" s="6">
        <f>_xll.BDP($A157,"IPO_OFFER_PX_TO_1ST_OPEN_%_CHG",$A$1,$A$2)</f>
        <v>38.627450000000003</v>
      </c>
      <c r="J157" s="6">
        <v>102</v>
      </c>
      <c r="K157" s="6">
        <v>5106100</v>
      </c>
      <c r="L157" s="7" t="s">
        <v>102</v>
      </c>
      <c r="M157" s="7" t="s">
        <v>613</v>
      </c>
      <c r="N157" s="7" t="s">
        <v>614</v>
      </c>
    </row>
    <row r="158" spans="1:14" s="4" customFormat="1" ht="13.2" x14ac:dyDescent="0.25">
      <c r="A158" s="7" t="s">
        <v>615</v>
      </c>
      <c r="B158" s="7" t="s">
        <v>616</v>
      </c>
      <c r="C158" s="7" t="s">
        <v>608</v>
      </c>
      <c r="D158" s="6"/>
      <c r="E158" s="7" t="s">
        <v>617</v>
      </c>
      <c r="F158" s="7" t="s">
        <v>616</v>
      </c>
      <c r="G158" s="6"/>
      <c r="H158" s="6" t="str">
        <f>_xll.BDP($A158,"IPO_OFFER_PX_TO_LAST_CLOSE_%_CHG",$A$1,$A$2)</f>
        <v>#N/A N/A</v>
      </c>
      <c r="I158" s="6">
        <f>_xll.BDP($A158,"IPO_OFFER_PX_TO_1ST_OPEN_%_CHG",$A$1,$A$2)</f>
        <v>2.7777780000000001</v>
      </c>
      <c r="J158" s="6">
        <v>18</v>
      </c>
      <c r="K158" s="6">
        <v>39473700</v>
      </c>
      <c r="L158" s="7"/>
      <c r="M158" s="7"/>
      <c r="N158" s="7"/>
    </row>
    <row r="159" spans="1:14" s="4" customFormat="1" ht="13.2" x14ac:dyDescent="0.25">
      <c r="A159" s="7" t="s">
        <v>618</v>
      </c>
      <c r="B159" s="7" t="s">
        <v>619</v>
      </c>
      <c r="C159" s="7" t="s">
        <v>608</v>
      </c>
      <c r="D159" s="6">
        <v>21.954999999999998</v>
      </c>
      <c r="E159" s="7" t="s">
        <v>620</v>
      </c>
      <c r="F159" s="7" t="s">
        <v>619</v>
      </c>
      <c r="G159" s="6"/>
      <c r="H159" s="6">
        <f>_xll.BDP($A159,"IPO_OFFER_PX_TO_LAST_CLOSE_%_CHG",$A$1,$A$2)</f>
        <v>9.7750000000000004</v>
      </c>
      <c r="I159" s="6">
        <f>_xll.BDP($A159,"IPO_OFFER_PX_TO_1ST_OPEN_%_CHG",$A$1,$A$2)</f>
        <v>0</v>
      </c>
      <c r="J159" s="6">
        <v>20</v>
      </c>
      <c r="K159" s="6">
        <v>29000000</v>
      </c>
      <c r="L159" s="7"/>
      <c r="M159" s="7"/>
      <c r="N159" s="7"/>
    </row>
    <row r="160" spans="1:14" s="4" customFormat="1" ht="13.2" x14ac:dyDescent="0.25">
      <c r="A160" s="7" t="s">
        <v>621</v>
      </c>
      <c r="B160" s="7" t="s">
        <v>622</v>
      </c>
      <c r="C160" s="7" t="s">
        <v>608</v>
      </c>
      <c r="D160" s="6"/>
      <c r="E160" s="7" t="s">
        <v>623</v>
      </c>
      <c r="F160" s="7" t="s">
        <v>622</v>
      </c>
      <c r="G160" s="6"/>
      <c r="H160" s="6" t="str">
        <f>_xll.BDP($A160,"IPO_OFFER_PX_TO_LAST_CLOSE_%_CHG",$A$1,$A$2)</f>
        <v>#N/A N/A</v>
      </c>
      <c r="I160" s="6">
        <f>_xll.BDP($A160,"IPO_OFFER_PX_TO_1ST_OPEN_%_CHG",$A$1,$A$2)</f>
        <v>-11.11111</v>
      </c>
      <c r="J160" s="6">
        <v>18</v>
      </c>
      <c r="K160" s="6">
        <v>13850000</v>
      </c>
      <c r="L160" s="7"/>
      <c r="M160" s="7"/>
      <c r="N160" s="7"/>
    </row>
    <row r="161" spans="1:14" s="4" customFormat="1" ht="13.2" x14ac:dyDescent="0.25">
      <c r="A161" s="7" t="s">
        <v>624</v>
      </c>
      <c r="B161" s="7" t="s">
        <v>625</v>
      </c>
      <c r="C161" s="7" t="s">
        <v>608</v>
      </c>
      <c r="D161" s="6"/>
      <c r="E161" s="7" t="s">
        <v>626</v>
      </c>
      <c r="F161" s="7" t="s">
        <v>625</v>
      </c>
      <c r="G161" s="6"/>
      <c r="H161" s="6" t="str">
        <f>_xll.BDP($A161,"IPO_OFFER_PX_TO_LAST_CLOSE_%_CHG",$A$1,$A$2)</f>
        <v>#N/A N/A</v>
      </c>
      <c r="I161" s="6">
        <f>_xll.BDP($A161,"IPO_OFFER_PX_TO_1ST_OPEN_%_CHG",$A$1,$A$2)</f>
        <v>-1.5</v>
      </c>
      <c r="J161" s="6">
        <v>10</v>
      </c>
      <c r="K161" s="6">
        <v>20000000</v>
      </c>
      <c r="L161" s="7"/>
      <c r="M161" s="7"/>
      <c r="N161" s="7"/>
    </row>
    <row r="162" spans="1:14" s="4" customFormat="1" ht="13.2" x14ac:dyDescent="0.25">
      <c r="A162" s="7" t="s">
        <v>627</v>
      </c>
      <c r="B162" s="7" t="s">
        <v>628</v>
      </c>
      <c r="C162" s="7" t="s">
        <v>608</v>
      </c>
      <c r="D162" s="6"/>
      <c r="E162" s="7" t="s">
        <v>629</v>
      </c>
      <c r="F162" s="7" t="s">
        <v>628</v>
      </c>
      <c r="G162" s="6"/>
      <c r="H162" s="6" t="str">
        <f>_xll.BDP($A162,"IPO_OFFER_PX_TO_LAST_CLOSE_%_CHG",$A$1,$A$2)</f>
        <v>#N/A N/A</v>
      </c>
      <c r="I162" s="6" t="str">
        <f>_xll.BDP($A162,"IPO_OFFER_PX_TO_1ST_OPEN_%_CHG",$A$1,$A$2)</f>
        <v>#N/A N/A</v>
      </c>
      <c r="J162" s="6">
        <v>1.4</v>
      </c>
      <c r="K162" s="6">
        <v>4420600</v>
      </c>
      <c r="L162" s="7"/>
      <c r="M162" s="7"/>
      <c r="N162" s="7"/>
    </row>
    <row r="163" spans="1:14" s="4" customFormat="1" ht="13.2" x14ac:dyDescent="0.25">
      <c r="A163" s="7" t="s">
        <v>630</v>
      </c>
      <c r="B163" s="7" t="s">
        <v>631</v>
      </c>
      <c r="C163" s="7" t="s">
        <v>632</v>
      </c>
      <c r="D163" s="6">
        <v>9.57</v>
      </c>
      <c r="E163" s="7" t="s">
        <v>633</v>
      </c>
      <c r="F163" s="7" t="s">
        <v>631</v>
      </c>
      <c r="G163" s="6">
        <v>701196187.23000002</v>
      </c>
      <c r="H163" s="6">
        <f>_xll.BDP($A163,"IPO_OFFER_PX_TO_LAST_CLOSE_%_CHG",$A$1,$A$2)</f>
        <v>19.625</v>
      </c>
      <c r="I163" s="6">
        <f>_xll.BDP($A163,"IPO_OFFER_PX_TO_1ST_OPEN_%_CHG",$A$1,$A$2)</f>
        <v>0</v>
      </c>
      <c r="J163" s="6">
        <v>8</v>
      </c>
      <c r="K163" s="6">
        <v>9000000</v>
      </c>
      <c r="L163" s="7" t="s">
        <v>21</v>
      </c>
      <c r="M163" s="7" t="s">
        <v>22</v>
      </c>
      <c r="N163" s="7" t="s">
        <v>22</v>
      </c>
    </row>
    <row r="164" spans="1:14" s="4" customFormat="1" ht="13.2" x14ac:dyDescent="0.25">
      <c r="A164" s="7" t="s">
        <v>634</v>
      </c>
      <c r="B164" s="7" t="s">
        <v>635</v>
      </c>
      <c r="C164" s="7" t="s">
        <v>636</v>
      </c>
      <c r="D164" s="6"/>
      <c r="E164" s="7" t="s">
        <v>637</v>
      </c>
      <c r="F164" s="7" t="s">
        <v>635</v>
      </c>
      <c r="G164" s="6"/>
      <c r="H164" s="6" t="str">
        <f>_xll.BDP($A164,"IPO_OFFER_PX_TO_LAST_CLOSE_%_CHG",$A$1,$A$2)</f>
        <v>#N/A N/A</v>
      </c>
      <c r="I164" s="6">
        <f>_xll.BDP($A164,"IPO_OFFER_PX_TO_1ST_OPEN_%_CHG",$A$1,$A$2)</f>
        <v>-100</v>
      </c>
      <c r="J164" s="6">
        <v>10</v>
      </c>
      <c r="K164" s="6">
        <v>4000000</v>
      </c>
      <c r="L164" s="7"/>
      <c r="M164" s="7"/>
      <c r="N164" s="7"/>
    </row>
    <row r="165" spans="1:14" s="4" customFormat="1" ht="13.2" x14ac:dyDescent="0.25">
      <c r="A165" s="7" t="s">
        <v>638</v>
      </c>
      <c r="B165" s="7" t="s">
        <v>639</v>
      </c>
      <c r="C165" s="7" t="s">
        <v>636</v>
      </c>
      <c r="D165" s="6">
        <v>0.78690000000000004</v>
      </c>
      <c r="E165" s="7" t="s">
        <v>640</v>
      </c>
      <c r="F165" s="7" t="s">
        <v>639</v>
      </c>
      <c r="G165" s="6">
        <v>76322556.26699999</v>
      </c>
      <c r="H165" s="6">
        <f>_xll.BDP($A165,"IPO_OFFER_PX_TO_LAST_CLOSE_%_CHG",$A$1,$A$2)</f>
        <v>-96.0655</v>
      </c>
      <c r="I165" s="6">
        <f>_xll.BDP($A165,"IPO_OFFER_PX_TO_1ST_OPEN_%_CHG",$A$1,$A$2)</f>
        <v>0</v>
      </c>
      <c r="J165" s="6">
        <v>20</v>
      </c>
      <c r="K165" s="6">
        <v>8000000</v>
      </c>
      <c r="L165" s="7" t="s">
        <v>174</v>
      </c>
      <c r="M165" s="7" t="s">
        <v>175</v>
      </c>
      <c r="N165" s="7" t="s">
        <v>175</v>
      </c>
    </row>
    <row r="166" spans="1:14" s="4" customFormat="1" ht="13.2" x14ac:dyDescent="0.25">
      <c r="A166" s="7" t="s">
        <v>641</v>
      </c>
      <c r="B166" s="7" t="s">
        <v>642</v>
      </c>
      <c r="C166" s="7" t="s">
        <v>636</v>
      </c>
      <c r="D166" s="6">
        <v>1.62</v>
      </c>
      <c r="E166" s="7" t="s">
        <v>643</v>
      </c>
      <c r="F166" s="7" t="s">
        <v>642</v>
      </c>
      <c r="G166" s="6">
        <v>160672531.5</v>
      </c>
      <c r="H166" s="6">
        <f>_xll.BDP($A166,"IPO_OFFER_PX_TO_LAST_CLOSE_%_CHG",$A$1,$A$2)</f>
        <v>-89.875</v>
      </c>
      <c r="I166" s="6">
        <f>_xll.BDP($A166,"IPO_OFFER_PX_TO_1ST_OPEN_%_CHG",$A$1,$A$2)</f>
        <v>10.3125</v>
      </c>
      <c r="J166" s="6">
        <v>16</v>
      </c>
      <c r="K166" s="6">
        <v>19000000</v>
      </c>
      <c r="L166" s="7" t="s">
        <v>21</v>
      </c>
      <c r="M166" s="7" t="s">
        <v>22</v>
      </c>
      <c r="N166" s="7" t="s">
        <v>22</v>
      </c>
    </row>
    <row r="167" spans="1:14" s="4" customFormat="1" ht="13.2" x14ac:dyDescent="0.25">
      <c r="A167" s="7" t="s">
        <v>644</v>
      </c>
      <c r="B167" s="7" t="s">
        <v>645</v>
      </c>
      <c r="C167" s="7" t="s">
        <v>636</v>
      </c>
      <c r="D167" s="6">
        <v>4.58</v>
      </c>
      <c r="E167" s="7" t="s">
        <v>646</v>
      </c>
      <c r="F167" s="7" t="s">
        <v>645</v>
      </c>
      <c r="G167" s="6">
        <v>591473048.45999992</v>
      </c>
      <c r="H167" s="6">
        <f>_xll.BDP($A167,"IPO_OFFER_PX_TO_LAST_CLOSE_%_CHG",$A$1,$A$2)</f>
        <v>-73.058819999999997</v>
      </c>
      <c r="I167" s="6">
        <f>_xll.BDP($A167,"IPO_OFFER_PX_TO_1ST_OPEN_%_CHG",$A$1,$A$2)</f>
        <v>18.235289999999999</v>
      </c>
      <c r="J167" s="6">
        <v>17</v>
      </c>
      <c r="K167" s="6">
        <v>14564600</v>
      </c>
      <c r="L167" s="7" t="s">
        <v>21</v>
      </c>
      <c r="M167" s="7" t="s">
        <v>573</v>
      </c>
      <c r="N167" s="7" t="s">
        <v>573</v>
      </c>
    </row>
    <row r="168" spans="1:14" s="4" customFormat="1" ht="13.2" x14ac:dyDescent="0.25">
      <c r="A168" s="7" t="s">
        <v>647</v>
      </c>
      <c r="B168" s="7" t="s">
        <v>648</v>
      </c>
      <c r="C168" s="7" t="s">
        <v>636</v>
      </c>
      <c r="D168" s="6"/>
      <c r="E168" s="7" t="s">
        <v>649</v>
      </c>
      <c r="F168" s="7" t="s">
        <v>648</v>
      </c>
      <c r="G168" s="6"/>
      <c r="H168" s="6" t="str">
        <f>_xll.BDP($A168,"IPO_OFFER_PX_TO_LAST_CLOSE_%_CHG",$A$1,$A$2)</f>
        <v>#N/A N/A</v>
      </c>
      <c r="I168" s="6">
        <f>_xll.BDP($A168,"IPO_OFFER_PX_TO_1ST_OPEN_%_CHG",$A$1,$A$2)</f>
        <v>-0.8</v>
      </c>
      <c r="J168" s="6">
        <v>10</v>
      </c>
      <c r="K168" s="6">
        <v>15000000</v>
      </c>
      <c r="L168" s="7"/>
      <c r="M168" s="7"/>
      <c r="N168" s="7"/>
    </row>
    <row r="169" spans="1:14" s="4" customFormat="1" ht="13.2" x14ac:dyDescent="0.25">
      <c r="A169" s="7" t="s">
        <v>650</v>
      </c>
      <c r="B169" s="7" t="s">
        <v>651</v>
      </c>
      <c r="C169" s="7" t="s">
        <v>636</v>
      </c>
      <c r="D169" s="6">
        <v>43.83</v>
      </c>
      <c r="E169" s="7" t="s">
        <v>652</v>
      </c>
      <c r="F169" s="7" t="s">
        <v>651</v>
      </c>
      <c r="G169" s="6">
        <v>8482859734.0500002</v>
      </c>
      <c r="H169" s="6">
        <f>_xll.BDP($A169,"IPO_OFFER_PX_TO_LAST_CLOSE_%_CHG",$A$1,$A$2)</f>
        <v>119.15</v>
      </c>
      <c r="I169" s="6">
        <f>_xll.BDP($A169,"IPO_OFFER_PX_TO_1ST_OPEN_%_CHG",$A$1,$A$2)</f>
        <v>8.5</v>
      </c>
      <c r="J169" s="6">
        <v>20</v>
      </c>
      <c r="K169" s="6">
        <v>34883700</v>
      </c>
      <c r="L169" s="7" t="s">
        <v>33</v>
      </c>
      <c r="M169" s="7" t="s">
        <v>653</v>
      </c>
      <c r="N169" s="7" t="s">
        <v>653</v>
      </c>
    </row>
    <row r="170" spans="1:14" s="4" customFormat="1" ht="13.2" x14ac:dyDescent="0.25">
      <c r="A170" s="7" t="s">
        <v>654</v>
      </c>
      <c r="B170" s="7" t="s">
        <v>655</v>
      </c>
      <c r="C170" s="7" t="s">
        <v>636</v>
      </c>
      <c r="D170" s="6">
        <v>6.5</v>
      </c>
      <c r="E170" s="7" t="s">
        <v>656</v>
      </c>
      <c r="F170" s="7" t="s">
        <v>655</v>
      </c>
      <c r="G170" s="6">
        <v>319637500.00000006</v>
      </c>
      <c r="H170" s="6">
        <f>_xll.BDP($A170,"IPO_OFFER_PX_TO_LAST_CLOSE_%_CHG",$A$1,$A$2)</f>
        <v>-45.833329999999997</v>
      </c>
      <c r="I170" s="6">
        <f>_xll.BDP($A170,"IPO_OFFER_PX_TO_1ST_OPEN_%_CHG",$A$1,$A$2)</f>
        <v>-6.6666670000000003</v>
      </c>
      <c r="J170" s="6">
        <v>12</v>
      </c>
      <c r="K170" s="6">
        <v>10000000</v>
      </c>
      <c r="L170" s="7" t="s">
        <v>102</v>
      </c>
      <c r="M170" s="7" t="s">
        <v>103</v>
      </c>
      <c r="N170" s="7" t="s">
        <v>386</v>
      </c>
    </row>
    <row r="171" spans="1:14" s="4" customFormat="1" ht="13.2" x14ac:dyDescent="0.25">
      <c r="A171" s="7" t="s">
        <v>657</v>
      </c>
      <c r="B171" s="7" t="s">
        <v>658</v>
      </c>
      <c r="C171" s="7" t="s">
        <v>659</v>
      </c>
      <c r="D171" s="6"/>
      <c r="E171" s="7" t="s">
        <v>660</v>
      </c>
      <c r="F171" s="7" t="s">
        <v>658</v>
      </c>
      <c r="G171" s="6"/>
      <c r="H171" s="6" t="str">
        <f>_xll.BDP($A171,"IPO_OFFER_PX_TO_LAST_CLOSE_%_CHG",$A$1,$A$2)</f>
        <v>#N/A N/A</v>
      </c>
      <c r="I171" s="6">
        <f>_xll.BDP($A171,"IPO_OFFER_PX_TO_1ST_OPEN_%_CHG",$A$1,$A$2)</f>
        <v>23.33333</v>
      </c>
      <c r="J171" s="6">
        <v>24</v>
      </c>
      <c r="K171" s="6">
        <v>8339100</v>
      </c>
      <c r="L171" s="7"/>
      <c r="M171" s="7"/>
      <c r="N171" s="7"/>
    </row>
    <row r="172" spans="1:14" s="4" customFormat="1" ht="13.2" x14ac:dyDescent="0.25">
      <c r="A172" s="7" t="s">
        <v>661</v>
      </c>
      <c r="B172" s="7" t="s">
        <v>662</v>
      </c>
      <c r="C172" s="7" t="s">
        <v>659</v>
      </c>
      <c r="D172" s="6">
        <v>41.97</v>
      </c>
      <c r="E172" s="7" t="s">
        <v>663</v>
      </c>
      <c r="F172" s="7" t="s">
        <v>662</v>
      </c>
      <c r="G172" s="6">
        <v>11065785647.549997</v>
      </c>
      <c r="H172" s="6">
        <f>_xll.BDP($A172,"IPO_OFFER_PX_TO_LAST_CLOSE_%_CHG",$A$1,$A$2)</f>
        <v>78.595749999999995</v>
      </c>
      <c r="I172" s="6">
        <f>_xll.BDP($A172,"IPO_OFFER_PX_TO_1ST_OPEN_%_CHG",$A$1,$A$2)</f>
        <v>8.9361709999999999</v>
      </c>
      <c r="J172" s="6">
        <v>23.5</v>
      </c>
      <c r="K172" s="6">
        <v>56918300</v>
      </c>
      <c r="L172" s="7" t="s">
        <v>66</v>
      </c>
      <c r="M172" s="7" t="s">
        <v>286</v>
      </c>
      <c r="N172" s="7" t="s">
        <v>287</v>
      </c>
    </row>
    <row r="173" spans="1:14" s="4" customFormat="1" ht="13.2" x14ac:dyDescent="0.25">
      <c r="A173" s="7" t="s">
        <v>664</v>
      </c>
      <c r="B173" s="7" t="s">
        <v>665</v>
      </c>
      <c r="C173" s="7" t="s">
        <v>659</v>
      </c>
      <c r="D173" s="6"/>
      <c r="E173" s="7" t="s">
        <v>666</v>
      </c>
      <c r="F173" s="7" t="s">
        <v>665</v>
      </c>
      <c r="G173" s="6"/>
      <c r="H173" s="6" t="str">
        <f>_xll.BDP($A173,"IPO_OFFER_PX_TO_LAST_CLOSE_%_CHG",$A$1,$A$2)</f>
        <v>#N/A N/A</v>
      </c>
      <c r="I173" s="6">
        <f>_xll.BDP($A173,"IPO_OFFER_PX_TO_1ST_OPEN_%_CHG",$A$1,$A$2)</f>
        <v>15.25</v>
      </c>
      <c r="J173" s="6">
        <v>20</v>
      </c>
      <c r="K173" s="6">
        <v>12500000</v>
      </c>
      <c r="L173" s="7"/>
      <c r="M173" s="7"/>
      <c r="N173" s="7"/>
    </row>
    <row r="174" spans="1:14" s="4" customFormat="1" ht="13.2" x14ac:dyDescent="0.25">
      <c r="A174" s="7" t="s">
        <v>667</v>
      </c>
      <c r="B174" s="7" t="s">
        <v>668</v>
      </c>
      <c r="C174" s="7" t="s">
        <v>659</v>
      </c>
      <c r="D174" s="6">
        <v>8.16</v>
      </c>
      <c r="E174" s="7" t="s">
        <v>669</v>
      </c>
      <c r="F174" s="7" t="s">
        <v>668</v>
      </c>
      <c r="G174" s="6">
        <v>1377778561.9199998</v>
      </c>
      <c r="H174" s="6">
        <f>_xll.BDP($A174,"IPO_OFFER_PX_TO_LAST_CLOSE_%_CHG",$A$1,$A$2)</f>
        <v>-49</v>
      </c>
      <c r="I174" s="6">
        <f>_xll.BDP($A174,"IPO_OFFER_PX_TO_1ST_OPEN_%_CHG",$A$1,$A$2)</f>
        <v>31.25</v>
      </c>
      <c r="J174" s="6">
        <v>16</v>
      </c>
      <c r="K174" s="6">
        <v>12500000</v>
      </c>
      <c r="L174" s="7" t="s">
        <v>21</v>
      </c>
      <c r="M174" s="7" t="s">
        <v>22</v>
      </c>
      <c r="N174" s="7" t="s">
        <v>22</v>
      </c>
    </row>
    <row r="175" spans="1:14" s="4" customFormat="1" ht="13.2" x14ac:dyDescent="0.25">
      <c r="A175" s="7" t="s">
        <v>670</v>
      </c>
      <c r="B175" s="7" t="s">
        <v>671</v>
      </c>
      <c r="C175" s="7" t="s">
        <v>659</v>
      </c>
      <c r="D175" s="6">
        <v>1.67</v>
      </c>
      <c r="E175" s="7" t="s">
        <v>672</v>
      </c>
      <c r="F175" s="7" t="s">
        <v>671</v>
      </c>
      <c r="G175" s="6">
        <v>128563490.41999999</v>
      </c>
      <c r="H175" s="6">
        <f>_xll.BDP($A175,"IPO_OFFER_PX_TO_LAST_CLOSE_%_CHG",$A$1,$A$2)</f>
        <v>-88.071430000000007</v>
      </c>
      <c r="I175" s="6">
        <f>_xll.BDP($A175,"IPO_OFFER_PX_TO_1ST_OPEN_%_CHG",$A$1,$A$2)</f>
        <v>-10.71429</v>
      </c>
      <c r="J175" s="6">
        <v>14</v>
      </c>
      <c r="K175" s="6">
        <v>10700000</v>
      </c>
      <c r="L175" s="7" t="s">
        <v>47</v>
      </c>
      <c r="M175" s="7" t="s">
        <v>48</v>
      </c>
      <c r="N175" s="7" t="s">
        <v>327</v>
      </c>
    </row>
    <row r="176" spans="1:14" s="4" customFormat="1" ht="13.2" x14ac:dyDescent="0.25">
      <c r="A176" s="7" t="s">
        <v>673</v>
      </c>
      <c r="B176" s="7" t="s">
        <v>674</v>
      </c>
      <c r="C176" s="7" t="s">
        <v>675</v>
      </c>
      <c r="D176" s="6">
        <v>1.385</v>
      </c>
      <c r="E176" s="7" t="s">
        <v>676</v>
      </c>
      <c r="F176" s="7" t="s">
        <v>674</v>
      </c>
      <c r="G176" s="6">
        <v>208269017.67000002</v>
      </c>
      <c r="H176" s="6">
        <f>_xll.BDP($A176,"IPO_OFFER_PX_TO_LAST_CLOSE_%_CHG",$A$1,$A$2)</f>
        <v>-86.15</v>
      </c>
      <c r="I176" s="6">
        <f>_xll.BDP($A176,"IPO_OFFER_PX_TO_1ST_OPEN_%_CHG",$A$1,$A$2)</f>
        <v>15</v>
      </c>
      <c r="J176" s="6">
        <v>10</v>
      </c>
      <c r="K176" s="6">
        <v>15000000</v>
      </c>
      <c r="L176" s="7" t="s">
        <v>40</v>
      </c>
      <c r="M176" s="7" t="s">
        <v>41</v>
      </c>
      <c r="N176" s="7" t="s">
        <v>42</v>
      </c>
    </row>
    <row r="177" spans="1:14" s="4" customFormat="1" ht="13.2" x14ac:dyDescent="0.25">
      <c r="A177" s="7" t="s">
        <v>677</v>
      </c>
      <c r="B177" s="7" t="s">
        <v>678</v>
      </c>
      <c r="C177" s="7" t="s">
        <v>675</v>
      </c>
      <c r="D177" s="6">
        <v>4.1100000000000003</v>
      </c>
      <c r="E177" s="7" t="s">
        <v>679</v>
      </c>
      <c r="F177" s="7" t="s">
        <v>678</v>
      </c>
      <c r="G177" s="6">
        <v>263592408.66</v>
      </c>
      <c r="H177" s="6">
        <f>_xll.BDP($A177,"IPO_OFFER_PX_TO_LAST_CLOSE_%_CHG",$A$1,$A$2)</f>
        <v>-87.15625</v>
      </c>
      <c r="I177" s="6">
        <f>_xll.BDP($A177,"IPO_OFFER_PX_TO_1ST_OPEN_%_CHG",$A$1,$A$2)</f>
        <v>41.4375</v>
      </c>
      <c r="J177" s="6">
        <v>32</v>
      </c>
      <c r="K177" s="6">
        <v>7000000</v>
      </c>
      <c r="L177" s="7" t="s">
        <v>40</v>
      </c>
      <c r="M177" s="7" t="s">
        <v>41</v>
      </c>
      <c r="N177" s="7" t="s">
        <v>42</v>
      </c>
    </row>
    <row r="178" spans="1:14" s="4" customFormat="1" ht="13.2" x14ac:dyDescent="0.25">
      <c r="A178" s="7" t="s">
        <v>680</v>
      </c>
      <c r="B178" s="7" t="s">
        <v>681</v>
      </c>
      <c r="C178" s="7" t="s">
        <v>675</v>
      </c>
      <c r="D178" s="6"/>
      <c r="E178" s="7" t="s">
        <v>682</v>
      </c>
      <c r="F178" s="7" t="s">
        <v>681</v>
      </c>
      <c r="G178" s="6"/>
      <c r="H178" s="6" t="str">
        <f>_xll.BDP($A178,"IPO_OFFER_PX_TO_LAST_CLOSE_%_CHG",$A$1,$A$2)</f>
        <v>#N/A N/A</v>
      </c>
      <c r="I178" s="6">
        <f>_xll.BDP($A178,"IPO_OFFER_PX_TO_1ST_OPEN_%_CHG",$A$1,$A$2)</f>
        <v>23.5</v>
      </c>
      <c r="J178" s="6">
        <v>10</v>
      </c>
      <c r="K178" s="6">
        <v>4898400</v>
      </c>
      <c r="L178" s="7"/>
      <c r="M178" s="7"/>
      <c r="N178" s="7"/>
    </row>
    <row r="179" spans="1:14" s="4" customFormat="1" ht="13.2" x14ac:dyDescent="0.25">
      <c r="A179" s="7" t="s">
        <v>683</v>
      </c>
      <c r="B179" s="7" t="s">
        <v>684</v>
      </c>
      <c r="C179" s="7" t="s">
        <v>675</v>
      </c>
      <c r="D179" s="6"/>
      <c r="E179" s="7" t="s">
        <v>685</v>
      </c>
      <c r="F179" s="7" t="s">
        <v>684</v>
      </c>
      <c r="G179" s="6"/>
      <c r="H179" s="6" t="str">
        <f>_xll.BDP($A179,"IPO_OFFER_PX_TO_LAST_CLOSE_%_CHG",$A$1,$A$2)</f>
        <v>#N/A N/A</v>
      </c>
      <c r="I179" s="6">
        <f>_xll.BDP($A179,"IPO_OFFER_PX_TO_1ST_OPEN_%_CHG",$A$1,$A$2)</f>
        <v>21.739129999999999</v>
      </c>
      <c r="J179" s="6">
        <v>23</v>
      </c>
      <c r="K179" s="6">
        <v>18500000</v>
      </c>
      <c r="L179" s="7"/>
      <c r="M179" s="7"/>
      <c r="N179" s="7"/>
    </row>
    <row r="180" spans="1:14" s="4" customFormat="1" ht="13.2" x14ac:dyDescent="0.25">
      <c r="A180" s="7" t="s">
        <v>686</v>
      </c>
      <c r="B180" s="7" t="s">
        <v>687</v>
      </c>
      <c r="C180" s="7" t="s">
        <v>675</v>
      </c>
      <c r="D180" s="6">
        <v>29.49</v>
      </c>
      <c r="E180" s="7" t="s">
        <v>688</v>
      </c>
      <c r="F180" s="7" t="s">
        <v>687</v>
      </c>
      <c r="G180" s="6">
        <v>15609941.700000001</v>
      </c>
      <c r="H180" s="6">
        <f>_xll.BDP($A180,"IPO_OFFER_PX_TO_LAST_CLOSE_%_CHG",$A$1,$A$2)</f>
        <v>-98.671620000000004</v>
      </c>
      <c r="I180" s="6">
        <f>_xll.BDP($A180,"IPO_OFFER_PX_TO_1ST_OPEN_%_CHG",$A$1,$A$2)</f>
        <v>11.66667</v>
      </c>
      <c r="J180" s="6">
        <v>6</v>
      </c>
      <c r="K180" s="6">
        <v>3000000</v>
      </c>
      <c r="L180" s="7" t="s">
        <v>102</v>
      </c>
      <c r="M180" s="7" t="s">
        <v>270</v>
      </c>
      <c r="N180" s="7" t="s">
        <v>270</v>
      </c>
    </row>
    <row r="181" spans="1:14" s="4" customFormat="1" ht="13.2" x14ac:dyDescent="0.25">
      <c r="A181" s="7" t="s">
        <v>689</v>
      </c>
      <c r="B181" s="7" t="s">
        <v>690</v>
      </c>
      <c r="C181" s="7" t="s">
        <v>675</v>
      </c>
      <c r="D181" s="6"/>
      <c r="E181" s="7" t="s">
        <v>691</v>
      </c>
      <c r="F181" s="7" t="s">
        <v>690</v>
      </c>
      <c r="G181" s="6"/>
      <c r="H181" s="6" t="str">
        <f>_xll.BDP($A181,"IPO_OFFER_PX_TO_LAST_CLOSE_%_CHG",$A$1,$A$2)</f>
        <v>#N/A N/A</v>
      </c>
      <c r="I181" s="6">
        <f>_xll.BDP($A181,"IPO_OFFER_PX_TO_1ST_OPEN_%_CHG",$A$1,$A$2)</f>
        <v>-0.9</v>
      </c>
      <c r="J181" s="6">
        <v>10</v>
      </c>
      <c r="K181" s="6">
        <v>24000000</v>
      </c>
      <c r="L181" s="7"/>
      <c r="M181" s="7"/>
      <c r="N181" s="7"/>
    </row>
    <row r="182" spans="1:14" s="4" customFormat="1" ht="13.2" x14ac:dyDescent="0.25">
      <c r="A182" s="7" t="s">
        <v>692</v>
      </c>
      <c r="B182" s="7" t="s">
        <v>693</v>
      </c>
      <c r="C182" s="7" t="s">
        <v>694</v>
      </c>
      <c r="D182" s="6">
        <v>3.83</v>
      </c>
      <c r="E182" s="7" t="s">
        <v>695</v>
      </c>
      <c r="F182" s="7" t="s">
        <v>693</v>
      </c>
      <c r="G182" s="6">
        <v>6115922.0949999997</v>
      </c>
      <c r="H182" s="6">
        <f>_xll.BDP($A182,"IPO_OFFER_PX_TO_LAST_CLOSE_%_CHG",$A$1,$A$2)</f>
        <v>-99.800520000000006</v>
      </c>
      <c r="I182" s="6">
        <f>_xll.BDP($A182,"IPO_OFFER_PX_TO_1ST_OPEN_%_CHG",$A$1,$A$2)</f>
        <v>-6.25</v>
      </c>
      <c r="J182" s="6">
        <v>8</v>
      </c>
      <c r="K182" s="6">
        <v>7000000</v>
      </c>
      <c r="L182" s="7" t="s">
        <v>21</v>
      </c>
      <c r="M182" s="7" t="s">
        <v>22</v>
      </c>
      <c r="N182" s="7" t="s">
        <v>22</v>
      </c>
    </row>
    <row r="183" spans="1:14" s="4" customFormat="1" ht="13.2" x14ac:dyDescent="0.25">
      <c r="A183" s="7" t="s">
        <v>696</v>
      </c>
      <c r="B183" s="7" t="s">
        <v>697</v>
      </c>
      <c r="C183" s="7" t="s">
        <v>698</v>
      </c>
      <c r="D183" s="6"/>
      <c r="E183" s="7" t="s">
        <v>699</v>
      </c>
      <c r="F183" s="7" t="s">
        <v>697</v>
      </c>
      <c r="G183" s="6"/>
      <c r="H183" s="6" t="str">
        <f>_xll.BDP($A183,"IPO_OFFER_PX_TO_LAST_CLOSE_%_CHG",$A$1,$A$2)</f>
        <v>#N/A N/A</v>
      </c>
      <c r="I183" s="6">
        <f>_xll.BDP($A183,"IPO_OFFER_PX_TO_1ST_OPEN_%_CHG",$A$1,$A$2)</f>
        <v>9.375</v>
      </c>
      <c r="J183" s="6">
        <v>16</v>
      </c>
      <c r="K183" s="6">
        <v>8400000</v>
      </c>
      <c r="L183" s="7"/>
      <c r="M183" s="7"/>
      <c r="N183" s="7"/>
    </row>
    <row r="184" spans="1:14" s="4" customFormat="1" ht="13.2" x14ac:dyDescent="0.25">
      <c r="A184" s="7" t="s">
        <v>700</v>
      </c>
      <c r="B184" s="7" t="s">
        <v>701</v>
      </c>
      <c r="C184" s="7" t="s">
        <v>698</v>
      </c>
      <c r="D184" s="6">
        <v>1.8</v>
      </c>
      <c r="E184" s="7" t="s">
        <v>702</v>
      </c>
      <c r="F184" s="7" t="s">
        <v>701</v>
      </c>
      <c r="G184" s="6">
        <v>435809980.79999995</v>
      </c>
      <c r="H184" s="6">
        <f>_xll.BDP($A184,"IPO_OFFER_PX_TO_LAST_CLOSE_%_CHG",$A$1,$A$2)</f>
        <v>-90</v>
      </c>
      <c r="I184" s="6">
        <f>_xll.BDP($A184,"IPO_OFFER_PX_TO_1ST_OPEN_%_CHG",$A$1,$A$2)</f>
        <v>11.11111</v>
      </c>
      <c r="J184" s="6">
        <v>18</v>
      </c>
      <c r="K184" s="6">
        <v>20000000</v>
      </c>
      <c r="L184" s="7" t="s">
        <v>40</v>
      </c>
      <c r="M184" s="7" t="s">
        <v>41</v>
      </c>
      <c r="N184" s="7" t="s">
        <v>42</v>
      </c>
    </row>
    <row r="185" spans="1:14" s="4" customFormat="1" ht="13.2" x14ac:dyDescent="0.25">
      <c r="A185" s="7" t="s">
        <v>703</v>
      </c>
      <c r="B185" s="7" t="s">
        <v>704</v>
      </c>
      <c r="C185" s="7" t="s">
        <v>698</v>
      </c>
      <c r="D185" s="6">
        <v>18.82</v>
      </c>
      <c r="E185" s="7" t="s">
        <v>705</v>
      </c>
      <c r="F185" s="7" t="s">
        <v>704</v>
      </c>
      <c r="G185" s="6">
        <v>6529594200.8999996</v>
      </c>
      <c r="H185" s="6">
        <f>_xll.BDP($A185,"IPO_OFFER_PX_TO_LAST_CLOSE_%_CHG",$A$1,$A$2)</f>
        <v>17.625</v>
      </c>
      <c r="I185" s="6">
        <f>_xll.BDP($A185,"IPO_OFFER_PX_TO_1ST_OPEN_%_CHG",$A$1,$A$2)</f>
        <v>-0.625</v>
      </c>
      <c r="J185" s="6">
        <v>16</v>
      </c>
      <c r="K185" s="6">
        <v>18750000</v>
      </c>
      <c r="L185" s="7" t="s">
        <v>21</v>
      </c>
      <c r="M185" s="7" t="s">
        <v>22</v>
      </c>
      <c r="N185" s="7" t="s">
        <v>22</v>
      </c>
    </row>
    <row r="186" spans="1:14" s="4" customFormat="1" ht="13.2" x14ac:dyDescent="0.25">
      <c r="A186" s="7" t="s">
        <v>706</v>
      </c>
      <c r="B186" s="7" t="s">
        <v>707</v>
      </c>
      <c r="C186" s="7" t="s">
        <v>698</v>
      </c>
      <c r="D186" s="6">
        <v>0.92459999999999998</v>
      </c>
      <c r="E186" s="7" t="s">
        <v>708</v>
      </c>
      <c r="F186" s="7" t="s">
        <v>707</v>
      </c>
      <c r="G186" s="6">
        <v>60423365.39819999</v>
      </c>
      <c r="H186" s="6">
        <f>_xll.BDP($A186,"IPO_OFFER_PX_TO_LAST_CLOSE_%_CHG",$A$1,$A$2)</f>
        <v>-93.835999999999999</v>
      </c>
      <c r="I186" s="6">
        <f>_xll.BDP($A186,"IPO_OFFER_PX_TO_1ST_OPEN_%_CHG",$A$1,$A$2)</f>
        <v>-20</v>
      </c>
      <c r="J186" s="6">
        <v>15</v>
      </c>
      <c r="K186" s="6">
        <v>6666700</v>
      </c>
      <c r="L186" s="7" t="s">
        <v>21</v>
      </c>
      <c r="M186" s="7" t="s">
        <v>22</v>
      </c>
      <c r="N186" s="7" t="s">
        <v>22</v>
      </c>
    </row>
    <row r="187" spans="1:14" s="4" customFormat="1" ht="13.2" x14ac:dyDescent="0.25">
      <c r="A187" s="7" t="s">
        <v>709</v>
      </c>
      <c r="B187" s="7" t="s">
        <v>710</v>
      </c>
      <c r="C187" s="7" t="s">
        <v>698</v>
      </c>
      <c r="D187" s="6"/>
      <c r="E187" s="7" t="s">
        <v>711</v>
      </c>
      <c r="F187" s="7" t="s">
        <v>710</v>
      </c>
      <c r="G187" s="6"/>
      <c r="H187" s="6" t="str">
        <f>_xll.BDP($A187,"IPO_OFFER_PX_TO_LAST_CLOSE_%_CHG",$A$1,$A$2)</f>
        <v>#N/A N/A</v>
      </c>
      <c r="I187" s="6">
        <f>_xll.BDP($A187,"IPO_OFFER_PX_TO_1ST_OPEN_%_CHG",$A$1,$A$2)</f>
        <v>30</v>
      </c>
      <c r="J187" s="6">
        <v>10</v>
      </c>
      <c r="K187" s="6">
        <v>27772500</v>
      </c>
      <c r="L187" s="7"/>
      <c r="M187" s="7"/>
      <c r="N187" s="7"/>
    </row>
    <row r="188" spans="1:14" s="4" customFormat="1" ht="13.2" x14ac:dyDescent="0.25">
      <c r="A188" s="7" t="s">
        <v>712</v>
      </c>
      <c r="B188" s="7" t="s">
        <v>713</v>
      </c>
      <c r="C188" s="7" t="s">
        <v>698</v>
      </c>
      <c r="D188" s="6"/>
      <c r="E188" s="7" t="s">
        <v>714</v>
      </c>
      <c r="F188" s="7" t="s">
        <v>713</v>
      </c>
      <c r="G188" s="6"/>
      <c r="H188" s="6" t="str">
        <f>_xll.BDP($A188,"IPO_OFFER_PX_TO_LAST_CLOSE_%_CHG",$A$1,$A$2)</f>
        <v>#N/A N/A</v>
      </c>
      <c r="I188" s="6">
        <f>_xll.BDP($A188,"IPO_OFFER_PX_TO_1ST_OPEN_%_CHG",$A$1,$A$2)</f>
        <v>-10.3125</v>
      </c>
      <c r="J188" s="6">
        <v>16</v>
      </c>
      <c r="K188" s="6">
        <v>18750000</v>
      </c>
      <c r="L188" s="7"/>
      <c r="M188" s="7"/>
      <c r="N188" s="7"/>
    </row>
    <row r="189" spans="1:14" s="4" customFormat="1" ht="13.2" x14ac:dyDescent="0.25">
      <c r="A189" s="7" t="s">
        <v>715</v>
      </c>
      <c r="B189" s="7" t="s">
        <v>716</v>
      </c>
      <c r="C189" s="7" t="s">
        <v>717</v>
      </c>
      <c r="D189" s="6">
        <v>2.1</v>
      </c>
      <c r="E189" s="7" t="s">
        <v>718</v>
      </c>
      <c r="F189" s="7" t="s">
        <v>716</v>
      </c>
      <c r="G189" s="6">
        <v>82233322.5</v>
      </c>
      <c r="H189" s="6">
        <f>_xll.BDP($A189,"IPO_OFFER_PX_TO_LAST_CLOSE_%_CHG",$A$1,$A$2)</f>
        <v>-86.875</v>
      </c>
      <c r="I189" s="6">
        <f>_xll.BDP($A189,"IPO_OFFER_PX_TO_1ST_OPEN_%_CHG",$A$1,$A$2)</f>
        <v>-6.1875</v>
      </c>
      <c r="J189" s="6">
        <v>16</v>
      </c>
      <c r="K189" s="6">
        <v>4687500</v>
      </c>
      <c r="L189" s="7" t="s">
        <v>21</v>
      </c>
      <c r="M189" s="7" t="s">
        <v>22</v>
      </c>
      <c r="N189" s="7" t="s">
        <v>22</v>
      </c>
    </row>
    <row r="190" spans="1:14" s="4" customFormat="1" ht="13.2" x14ac:dyDescent="0.25">
      <c r="A190" s="7" t="s">
        <v>719</v>
      </c>
      <c r="B190" s="7" t="s">
        <v>720</v>
      </c>
      <c r="C190" s="7" t="s">
        <v>717</v>
      </c>
      <c r="D190" s="6">
        <v>2.0699999999999998</v>
      </c>
      <c r="E190" s="7" t="s">
        <v>721</v>
      </c>
      <c r="F190" s="7" t="s">
        <v>720</v>
      </c>
      <c r="G190" s="6">
        <v>95570248.139999971</v>
      </c>
      <c r="H190" s="6">
        <f>_xll.BDP($A190,"IPO_OFFER_PX_TO_LAST_CLOSE_%_CHG",$A$1,$A$2)</f>
        <v>-89.65</v>
      </c>
      <c r="I190" s="6">
        <f>_xll.BDP($A190,"IPO_OFFER_PX_TO_1ST_OPEN_%_CHG",$A$1,$A$2)</f>
        <v>12.5</v>
      </c>
      <c r="J190" s="6">
        <v>20</v>
      </c>
      <c r="K190" s="6">
        <v>7920000</v>
      </c>
      <c r="L190" s="7" t="s">
        <v>21</v>
      </c>
      <c r="M190" s="7" t="s">
        <v>573</v>
      </c>
      <c r="N190" s="7" t="s">
        <v>573</v>
      </c>
    </row>
    <row r="191" spans="1:14" s="4" customFormat="1" ht="13.2" x14ac:dyDescent="0.25">
      <c r="A191" s="7" t="s">
        <v>722</v>
      </c>
      <c r="B191" s="7" t="s">
        <v>723</v>
      </c>
      <c r="C191" s="7" t="s">
        <v>717</v>
      </c>
      <c r="D191" s="6">
        <v>5.04</v>
      </c>
      <c r="E191" s="7" t="s">
        <v>724</v>
      </c>
      <c r="F191" s="7" t="s">
        <v>723</v>
      </c>
      <c r="G191" s="6">
        <v>274226107.68000001</v>
      </c>
      <c r="H191" s="6">
        <f>_xll.BDP($A191,"IPO_OFFER_PX_TO_LAST_CLOSE_%_CHG",$A$1,$A$2)</f>
        <v>-79</v>
      </c>
      <c r="I191" s="6">
        <f>_xll.BDP($A191,"IPO_OFFER_PX_TO_1ST_OPEN_%_CHG",$A$1,$A$2)</f>
        <v>25</v>
      </c>
      <c r="J191" s="6">
        <v>24</v>
      </c>
      <c r="K191" s="6">
        <v>10000000</v>
      </c>
      <c r="L191" s="7" t="s">
        <v>21</v>
      </c>
      <c r="M191" s="7" t="s">
        <v>87</v>
      </c>
      <c r="N191" s="7" t="s">
        <v>88</v>
      </c>
    </row>
    <row r="192" spans="1:14" s="4" customFormat="1" ht="13.2" x14ac:dyDescent="0.25">
      <c r="A192" s="7" t="s">
        <v>725</v>
      </c>
      <c r="B192" s="7" t="s">
        <v>726</v>
      </c>
      <c r="C192" s="7" t="s">
        <v>717</v>
      </c>
      <c r="D192" s="6"/>
      <c r="E192" s="7" t="s">
        <v>727</v>
      </c>
      <c r="F192" s="7" t="s">
        <v>726</v>
      </c>
      <c r="G192" s="6"/>
      <c r="H192" s="6" t="str">
        <f>_xll.BDP($A192,"IPO_OFFER_PX_TO_LAST_CLOSE_%_CHG",$A$1,$A$2)</f>
        <v>#N/A N/A</v>
      </c>
      <c r="I192" s="6">
        <f>_xll.BDP($A192,"IPO_OFFER_PX_TO_1ST_OPEN_%_CHG",$A$1,$A$2)</f>
        <v>6.25</v>
      </c>
      <c r="J192" s="6">
        <v>16</v>
      </c>
      <c r="K192" s="6">
        <v>20312500</v>
      </c>
      <c r="L192" s="7"/>
      <c r="M192" s="7"/>
      <c r="N192" s="7"/>
    </row>
    <row r="193" spans="1:14" s="4" customFormat="1" ht="13.2" x14ac:dyDescent="0.25">
      <c r="A193" s="7" t="s">
        <v>728</v>
      </c>
      <c r="B193" s="7" t="s">
        <v>729</v>
      </c>
      <c r="C193" s="7" t="s">
        <v>717</v>
      </c>
      <c r="D193" s="6"/>
      <c r="E193" s="7" t="s">
        <v>730</v>
      </c>
      <c r="F193" s="7" t="s">
        <v>729</v>
      </c>
      <c r="G193" s="6"/>
      <c r="H193" s="6" t="str">
        <f>_xll.BDP($A193,"IPO_OFFER_PX_TO_LAST_CLOSE_%_CHG",$A$1,$A$2)</f>
        <v>#N/A N/A</v>
      </c>
      <c r="I193" s="6" t="str">
        <f>_xll.BDP($A193,"IPO_OFFER_PX_TO_1ST_OPEN_%_CHG",$A$1,$A$2)</f>
        <v>#N/A N/A</v>
      </c>
      <c r="J193" s="6"/>
      <c r="K193" s="6">
        <v>2415000</v>
      </c>
      <c r="L193" s="7"/>
      <c r="M193" s="7"/>
      <c r="N193" s="7"/>
    </row>
    <row r="194" spans="1:14" s="4" customFormat="1" ht="13.2" x14ac:dyDescent="0.25">
      <c r="A194" s="7" t="s">
        <v>731</v>
      </c>
      <c r="B194" s="7" t="s">
        <v>732</v>
      </c>
      <c r="C194" s="7" t="s">
        <v>717</v>
      </c>
      <c r="D194" s="6">
        <v>16.239999999999998</v>
      </c>
      <c r="E194" s="7" t="s">
        <v>733</v>
      </c>
      <c r="F194" s="7" t="s">
        <v>732</v>
      </c>
      <c r="G194" s="6">
        <v>117697369.99999999</v>
      </c>
      <c r="H194" s="6">
        <f>_xll.BDP($A194,"IPO_OFFER_PX_TO_LAST_CLOSE_%_CHG",$A$1,$A$2)</f>
        <v>62.4</v>
      </c>
      <c r="I194" s="6" t="str">
        <f>_xll.BDP($A194,"IPO_OFFER_PX_TO_1ST_OPEN_%_CHG",$A$1,$A$2)</f>
        <v>#N/A N/A</v>
      </c>
      <c r="J194" s="6">
        <v>10</v>
      </c>
      <c r="K194" s="6">
        <v>4284400</v>
      </c>
      <c r="L194" s="7" t="s">
        <v>66</v>
      </c>
      <c r="M194" s="7" t="s">
        <v>96</v>
      </c>
      <c r="N194" s="7" t="s">
        <v>97</v>
      </c>
    </row>
    <row r="195" spans="1:14" s="4" customFormat="1" ht="13.2" x14ac:dyDescent="0.25">
      <c r="A195" s="7" t="s">
        <v>734</v>
      </c>
      <c r="B195" s="7" t="s">
        <v>735</v>
      </c>
      <c r="C195" s="7" t="s">
        <v>717</v>
      </c>
      <c r="D195" s="6">
        <v>43.77</v>
      </c>
      <c r="E195" s="7" t="s">
        <v>736</v>
      </c>
      <c r="F195" s="7" t="s">
        <v>735</v>
      </c>
      <c r="G195" s="6">
        <v>6151457466.1500006</v>
      </c>
      <c r="H195" s="6">
        <f>_xll.BDP($A195,"IPO_OFFER_PX_TO_LAST_CLOSE_%_CHG",$A$1,$A$2)</f>
        <v>56.321429999999999</v>
      </c>
      <c r="I195" s="6">
        <f>_xll.BDP($A195,"IPO_OFFER_PX_TO_1ST_OPEN_%_CHG",$A$1,$A$2)</f>
        <v>0</v>
      </c>
      <c r="J195" s="6">
        <v>28</v>
      </c>
      <c r="K195" s="6">
        <v>17000000</v>
      </c>
      <c r="L195" s="7" t="s">
        <v>514</v>
      </c>
      <c r="M195" s="7" t="s">
        <v>737</v>
      </c>
      <c r="N195" s="7" t="s">
        <v>737</v>
      </c>
    </row>
    <row r="196" spans="1:14" s="4" customFormat="1" ht="13.2" x14ac:dyDescent="0.25">
      <c r="A196" s="7" t="s">
        <v>738</v>
      </c>
      <c r="B196" s="7" t="s">
        <v>739</v>
      </c>
      <c r="C196" s="7" t="s">
        <v>717</v>
      </c>
      <c r="D196" s="6">
        <v>17.8</v>
      </c>
      <c r="E196" s="7" t="s">
        <v>740</v>
      </c>
      <c r="F196" s="7" t="s">
        <v>739</v>
      </c>
      <c r="G196" s="6">
        <v>51359977.600000001</v>
      </c>
      <c r="H196" s="6">
        <f>_xll.BDP($A196,"IPO_OFFER_PX_TO_LAST_CLOSE_%_CHG",$A$1,$A$2)</f>
        <v>77.999989999999997</v>
      </c>
      <c r="I196" s="6">
        <f>_xll.BDP($A196,"IPO_OFFER_PX_TO_1ST_OPEN_%_CHG",$A$1,$A$2)</f>
        <v>80.400000000000006</v>
      </c>
      <c r="J196" s="6">
        <v>10</v>
      </c>
      <c r="K196" s="6">
        <v>3207800</v>
      </c>
      <c r="L196" s="7" t="s">
        <v>66</v>
      </c>
      <c r="M196" s="7" t="s">
        <v>96</v>
      </c>
      <c r="N196" s="7" t="s">
        <v>97</v>
      </c>
    </row>
    <row r="197" spans="1:14" s="4" customFormat="1" ht="13.2" x14ac:dyDescent="0.25">
      <c r="A197" s="7" t="s">
        <v>741</v>
      </c>
      <c r="B197" s="7" t="s">
        <v>742</v>
      </c>
      <c r="C197" s="7" t="s">
        <v>717</v>
      </c>
      <c r="D197" s="6">
        <v>17.62</v>
      </c>
      <c r="E197" s="7" t="s">
        <v>743</v>
      </c>
      <c r="F197" s="7" t="s">
        <v>742</v>
      </c>
      <c r="G197" s="6">
        <v>104984558.81999999</v>
      </c>
      <c r="H197" s="6">
        <f>_xll.BDP($A197,"IPO_OFFER_PX_TO_LAST_CLOSE_%_CHG",$A$1,$A$2)</f>
        <v>131.93209999999999</v>
      </c>
      <c r="I197" s="6" t="str">
        <f>_xll.BDP($A197,"IPO_OFFER_PX_TO_1ST_OPEN_%_CHG",$A$1,$A$2)</f>
        <v>#N/A N/A</v>
      </c>
      <c r="J197" s="6">
        <v>10</v>
      </c>
      <c r="K197" s="6">
        <v>3542000</v>
      </c>
      <c r="L197" s="7" t="s">
        <v>66</v>
      </c>
      <c r="M197" s="7" t="s">
        <v>96</v>
      </c>
      <c r="N197" s="7" t="s">
        <v>97</v>
      </c>
    </row>
    <row r="198" spans="1:14" s="4" customFormat="1" ht="13.2" x14ac:dyDescent="0.25">
      <c r="A198" s="7" t="s">
        <v>744</v>
      </c>
      <c r="B198" s="7" t="s">
        <v>745</v>
      </c>
      <c r="C198" s="7" t="s">
        <v>746</v>
      </c>
      <c r="D198" s="6">
        <v>5.45</v>
      </c>
      <c r="E198" s="7" t="s">
        <v>747</v>
      </c>
      <c r="F198" s="7" t="s">
        <v>745</v>
      </c>
      <c r="G198" s="6">
        <v>149291997.15000001</v>
      </c>
      <c r="H198" s="6">
        <f>_xll.BDP($A198,"IPO_OFFER_PX_TO_LAST_CLOSE_%_CHG",$A$1,$A$2)</f>
        <v>-89.1</v>
      </c>
      <c r="I198" s="6">
        <f>_xll.BDP($A198,"IPO_OFFER_PX_TO_1ST_OPEN_%_CHG",$A$1,$A$2)</f>
        <v>71</v>
      </c>
      <c r="J198" s="6">
        <v>5</v>
      </c>
      <c r="K198" s="6">
        <v>5000000</v>
      </c>
      <c r="L198" s="7" t="s">
        <v>21</v>
      </c>
      <c r="M198" s="7" t="s">
        <v>22</v>
      </c>
      <c r="N198" s="7" t="s">
        <v>22</v>
      </c>
    </row>
    <row r="199" spans="1:14" s="4" customFormat="1" ht="13.2" x14ac:dyDescent="0.25">
      <c r="A199" s="7" t="s">
        <v>748</v>
      </c>
      <c r="B199" s="7" t="s">
        <v>749</v>
      </c>
      <c r="C199" s="7" t="s">
        <v>746</v>
      </c>
      <c r="D199" s="6"/>
      <c r="E199" s="7" t="s">
        <v>750</v>
      </c>
      <c r="F199" s="7" t="s">
        <v>749</v>
      </c>
      <c r="G199" s="6"/>
      <c r="H199" s="6" t="str">
        <f>_xll.BDP($A199,"IPO_OFFER_PX_TO_LAST_CLOSE_%_CHG",$A$1,$A$2)</f>
        <v>#N/A N/A</v>
      </c>
      <c r="I199" s="6">
        <f>_xll.BDP($A199,"IPO_OFFER_PX_TO_1ST_OPEN_%_CHG",$A$1,$A$2)</f>
        <v>1.5</v>
      </c>
      <c r="J199" s="6">
        <v>10</v>
      </c>
      <c r="K199" s="6">
        <v>13000000</v>
      </c>
      <c r="L199" s="7"/>
      <c r="M199" s="7"/>
      <c r="N199" s="7"/>
    </row>
    <row r="200" spans="1:14" s="4" customFormat="1" ht="13.2" x14ac:dyDescent="0.25">
      <c r="A200" s="7" t="s">
        <v>751</v>
      </c>
      <c r="B200" s="7" t="s">
        <v>752</v>
      </c>
      <c r="C200" s="7" t="s">
        <v>746</v>
      </c>
      <c r="D200" s="6">
        <v>26.76</v>
      </c>
      <c r="E200" s="7" t="s">
        <v>753</v>
      </c>
      <c r="F200" s="7" t="s">
        <v>752</v>
      </c>
      <c r="G200" s="6">
        <v>369700291.31999993</v>
      </c>
      <c r="H200" s="6">
        <f>_xll.BDP($A200,"IPO_OFFER_PX_TO_LAST_CLOSE_%_CHG",$A$1,$A$2)</f>
        <v>258.584</v>
      </c>
      <c r="I200" s="6" t="str">
        <f>_xll.BDP($A200,"IPO_OFFER_PX_TO_1ST_OPEN_%_CHG",$A$1,$A$2)</f>
        <v>#N/A N/A</v>
      </c>
      <c r="J200" s="6">
        <v>10</v>
      </c>
      <c r="K200" s="6">
        <v>9784100</v>
      </c>
      <c r="L200" s="7" t="s">
        <v>66</v>
      </c>
      <c r="M200" s="7" t="s">
        <v>96</v>
      </c>
      <c r="N200" s="7" t="s">
        <v>97</v>
      </c>
    </row>
    <row r="201" spans="1:14" s="4" customFormat="1" ht="13.2" x14ac:dyDescent="0.25">
      <c r="A201" s="7" t="s">
        <v>754</v>
      </c>
      <c r="B201" s="7" t="s">
        <v>755</v>
      </c>
      <c r="C201" s="7" t="s">
        <v>756</v>
      </c>
      <c r="D201" s="6">
        <v>8.73</v>
      </c>
      <c r="E201" s="7" t="s">
        <v>757</v>
      </c>
      <c r="F201" s="7" t="s">
        <v>755</v>
      </c>
      <c r="G201" s="6">
        <v>8296136.46</v>
      </c>
      <c r="H201" s="6">
        <f>_xll.BDP($A201,"IPO_OFFER_PX_TO_LAST_CLOSE_%_CHG",$A$1,$A$2)</f>
        <v>-99.999700000000004</v>
      </c>
      <c r="I201" s="6">
        <f>_xll.BDP($A201,"IPO_OFFER_PX_TO_1ST_OPEN_%_CHG",$A$1,$A$2)</f>
        <v>50</v>
      </c>
      <c r="J201" s="6">
        <v>4</v>
      </c>
      <c r="K201" s="6">
        <v>6250000</v>
      </c>
      <c r="L201" s="7" t="s">
        <v>21</v>
      </c>
      <c r="M201" s="7" t="s">
        <v>22</v>
      </c>
      <c r="N201" s="7" t="s">
        <v>22</v>
      </c>
    </row>
    <row r="202" spans="1:14" s="4" customFormat="1" ht="13.2" x14ac:dyDescent="0.25">
      <c r="A202" s="7" t="s">
        <v>758</v>
      </c>
      <c r="B202" s="7" t="s">
        <v>759</v>
      </c>
      <c r="C202" s="7" t="s">
        <v>760</v>
      </c>
      <c r="D202" s="6">
        <v>41.51</v>
      </c>
      <c r="E202" s="7" t="s">
        <v>761</v>
      </c>
      <c r="F202" s="7" t="s">
        <v>759</v>
      </c>
      <c r="G202" s="6">
        <v>7222365870.3699989</v>
      </c>
      <c r="H202" s="6">
        <f>_xll.BDP($A202,"IPO_OFFER_PX_TO_LAST_CLOSE_%_CHG",$A$1,$A$2)</f>
        <v>315.10000000000002</v>
      </c>
      <c r="I202" s="6">
        <f>_xll.BDP($A202,"IPO_OFFER_PX_TO_1ST_OPEN_%_CHG",$A$1,$A$2)</f>
        <v>0</v>
      </c>
      <c r="J202" s="6">
        <v>10</v>
      </c>
      <c r="K202" s="6">
        <v>45000000</v>
      </c>
      <c r="L202" s="7" t="s">
        <v>762</v>
      </c>
      <c r="M202" s="7" t="s">
        <v>763</v>
      </c>
      <c r="N202" s="7" t="s">
        <v>763</v>
      </c>
    </row>
    <row r="203" spans="1:14" s="4" customFormat="1" ht="13.2" x14ac:dyDescent="0.25">
      <c r="A203" s="7" t="s">
        <v>764</v>
      </c>
      <c r="B203" s="7" t="s">
        <v>765</v>
      </c>
      <c r="C203" s="7" t="s">
        <v>760</v>
      </c>
      <c r="D203" s="6">
        <v>0.54500000000000004</v>
      </c>
      <c r="E203" s="7" t="s">
        <v>766</v>
      </c>
      <c r="F203" s="7" t="s">
        <v>765</v>
      </c>
      <c r="G203" s="6">
        <v>5417884.2400000002</v>
      </c>
      <c r="H203" s="6">
        <f>_xll.BDP($A203,"IPO_OFFER_PX_TO_LAST_CLOSE_%_CHG",$A$1,$A$2)</f>
        <v>-81.833340000000007</v>
      </c>
      <c r="I203" s="6">
        <f>_xll.BDP($A203,"IPO_OFFER_PX_TO_1ST_OPEN_%_CHG",$A$1,$A$2)</f>
        <v>300</v>
      </c>
      <c r="J203" s="6">
        <v>3</v>
      </c>
      <c r="K203" s="6">
        <v>4200000</v>
      </c>
      <c r="L203" s="7" t="s">
        <v>174</v>
      </c>
      <c r="M203" s="7" t="s">
        <v>201</v>
      </c>
      <c r="N203" s="7" t="s">
        <v>767</v>
      </c>
    </row>
    <row r="204" spans="1:14" s="4" customFormat="1" ht="13.2" x14ac:dyDescent="0.25">
      <c r="A204" s="7" t="s">
        <v>768</v>
      </c>
      <c r="B204" s="7" t="s">
        <v>769</v>
      </c>
      <c r="C204" s="7" t="s">
        <v>760</v>
      </c>
      <c r="D204" s="6"/>
      <c r="E204" s="7" t="s">
        <v>770</v>
      </c>
      <c r="F204" s="7" t="s">
        <v>769</v>
      </c>
      <c r="G204" s="6"/>
      <c r="H204" s="6" t="str">
        <f>_xll.BDP($A204,"IPO_OFFER_PX_TO_LAST_CLOSE_%_CHG",$A$1,$A$2)</f>
        <v>#N/A N/A</v>
      </c>
      <c r="I204" s="6">
        <f>_xll.BDP($A204,"IPO_OFFER_PX_TO_1ST_OPEN_%_CHG",$A$1,$A$2)</f>
        <v>5.1136359999999996</v>
      </c>
      <c r="J204" s="6">
        <v>176</v>
      </c>
      <c r="K204" s="6">
        <v>9659100</v>
      </c>
      <c r="L204" s="7"/>
      <c r="M204" s="7"/>
      <c r="N204" s="7"/>
    </row>
    <row r="205" spans="1:14" s="4" customFormat="1" ht="13.2" x14ac:dyDescent="0.25">
      <c r="A205" s="7" t="s">
        <v>771</v>
      </c>
      <c r="B205" s="7" t="s">
        <v>772</v>
      </c>
      <c r="C205" s="7" t="s">
        <v>773</v>
      </c>
      <c r="D205" s="6">
        <v>9.8999999463558197E-2</v>
      </c>
      <c r="E205" s="7" t="s">
        <v>774</v>
      </c>
      <c r="F205" s="7" t="s">
        <v>772</v>
      </c>
      <c r="G205" s="6">
        <v>93494523.858390197</v>
      </c>
      <c r="H205" s="6">
        <f>_xll.BDP($A205,"IPO_OFFER_PX_TO_LAST_CLOSE_%_CHG",$A$1,$A$2)</f>
        <v>-91.181740000000005</v>
      </c>
      <c r="I205" s="6">
        <f>_xll.BDP($A205,"IPO_OFFER_PX_TO_1ST_OPEN_%_CHG",$A$1,$A$2)</f>
        <v>20</v>
      </c>
      <c r="J205" s="6">
        <v>1.25</v>
      </c>
      <c r="K205" s="6">
        <v>50400000</v>
      </c>
      <c r="L205" s="7" t="s">
        <v>21</v>
      </c>
      <c r="M205" s="7" t="s">
        <v>87</v>
      </c>
      <c r="N205" s="7" t="s">
        <v>577</v>
      </c>
    </row>
    <row r="206" spans="1:14" s="4" customFormat="1" ht="13.2" x14ac:dyDescent="0.25">
      <c r="A206" s="7" t="s">
        <v>775</v>
      </c>
      <c r="B206" s="7" t="s">
        <v>776</v>
      </c>
      <c r="C206" s="7" t="s">
        <v>777</v>
      </c>
      <c r="D206" s="6">
        <v>2.21</v>
      </c>
      <c r="E206" s="7" t="s">
        <v>778</v>
      </c>
      <c r="F206" s="7" t="s">
        <v>776</v>
      </c>
      <c r="G206" s="6">
        <v>159622951.80000001</v>
      </c>
      <c r="H206" s="6">
        <f>_xll.BDP($A206,"IPO_OFFER_PX_TO_LAST_CLOSE_%_CHG",$A$1,$A$2)</f>
        <v>-86.1875</v>
      </c>
      <c r="I206" s="6">
        <f>_xll.BDP($A206,"IPO_OFFER_PX_TO_1ST_OPEN_%_CHG",$A$1,$A$2)</f>
        <v>56.6875</v>
      </c>
      <c r="J206" s="6">
        <v>16</v>
      </c>
      <c r="K206" s="6">
        <v>9999900</v>
      </c>
      <c r="L206" s="7" t="s">
        <v>21</v>
      </c>
      <c r="M206" s="7" t="s">
        <v>22</v>
      </c>
      <c r="N206" s="7" t="s">
        <v>22</v>
      </c>
    </row>
    <row r="207" spans="1:14" s="4" customFormat="1" ht="13.2" x14ac:dyDescent="0.25">
      <c r="A207" s="7" t="s">
        <v>779</v>
      </c>
      <c r="B207" s="7" t="s">
        <v>780</v>
      </c>
      <c r="C207" s="7" t="s">
        <v>777</v>
      </c>
      <c r="D207" s="6">
        <v>0.79979999999999996</v>
      </c>
      <c r="E207" s="7" t="s">
        <v>781</v>
      </c>
      <c r="F207" s="7" t="s">
        <v>780</v>
      </c>
      <c r="G207" s="6">
        <v>17354709.837599996</v>
      </c>
      <c r="H207" s="6">
        <f>_xll.BDP($A207,"IPO_OFFER_PX_TO_LAST_CLOSE_%_CHG",$A$1,$A$2)</f>
        <v>-88.574290000000005</v>
      </c>
      <c r="I207" s="6">
        <f>_xll.BDP($A207,"IPO_OFFER_PX_TO_1ST_OPEN_%_CHG",$A$1,$A$2)</f>
        <v>67.857140000000001</v>
      </c>
      <c r="J207" s="6">
        <v>7</v>
      </c>
      <c r="K207" s="6">
        <v>1750000</v>
      </c>
      <c r="L207" s="7" t="s">
        <v>40</v>
      </c>
      <c r="M207" s="7" t="s">
        <v>136</v>
      </c>
      <c r="N207" s="7" t="s">
        <v>562</v>
      </c>
    </row>
    <row r="208" spans="1:14" s="4" customFormat="1" ht="13.2" x14ac:dyDescent="0.25">
      <c r="A208" s="7" t="s">
        <v>782</v>
      </c>
      <c r="B208" s="7" t="s">
        <v>783</v>
      </c>
      <c r="C208" s="7" t="s">
        <v>777</v>
      </c>
      <c r="D208" s="6"/>
      <c r="E208" s="7" t="s">
        <v>784</v>
      </c>
      <c r="F208" s="7" t="s">
        <v>783</v>
      </c>
      <c r="G208" s="6"/>
      <c r="H208" s="6" t="str">
        <f>_xll.BDP($A208,"IPO_OFFER_PX_TO_LAST_CLOSE_%_CHG",$A$1,$A$2)</f>
        <v>#N/A N/A</v>
      </c>
      <c r="I208" s="6">
        <f>_xll.BDP($A208,"IPO_OFFER_PX_TO_1ST_OPEN_%_CHG",$A$1,$A$2)</f>
        <v>-0.9</v>
      </c>
      <c r="J208" s="6">
        <v>10</v>
      </c>
      <c r="K208" s="6">
        <v>25000000</v>
      </c>
      <c r="L208" s="7"/>
      <c r="M208" s="7"/>
      <c r="N208" s="7"/>
    </row>
    <row r="209" spans="1:14" s="4" customFormat="1" ht="13.2" x14ac:dyDescent="0.25">
      <c r="A209" s="7" t="s">
        <v>785</v>
      </c>
      <c r="B209" s="7" t="s">
        <v>786</v>
      </c>
      <c r="C209" s="7" t="s">
        <v>777</v>
      </c>
      <c r="D209" s="6"/>
      <c r="E209" s="7" t="s">
        <v>787</v>
      </c>
      <c r="F209" s="7" t="s">
        <v>786</v>
      </c>
      <c r="G209" s="6"/>
      <c r="H209" s="6" t="str">
        <f>_xll.BDP($A209,"IPO_OFFER_PX_TO_LAST_CLOSE_%_CHG",$A$1,$A$2)</f>
        <v>#N/A N/A</v>
      </c>
      <c r="I209" s="6">
        <f>_xll.BDP($A209,"IPO_OFFER_PX_TO_1ST_OPEN_%_CHG",$A$1,$A$2)</f>
        <v>0</v>
      </c>
      <c r="J209" s="6">
        <v>10</v>
      </c>
      <c r="K209" s="6">
        <v>10000000</v>
      </c>
      <c r="L209" s="7"/>
      <c r="M209" s="7"/>
      <c r="N209" s="7"/>
    </row>
    <row r="210" spans="1:14" s="4" customFormat="1" ht="13.2" x14ac:dyDescent="0.25">
      <c r="A210" s="7" t="s">
        <v>788</v>
      </c>
      <c r="B210" s="7" t="s">
        <v>789</v>
      </c>
      <c r="C210" s="7" t="s">
        <v>777</v>
      </c>
      <c r="D210" s="6">
        <v>11.82</v>
      </c>
      <c r="E210" s="7" t="s">
        <v>790</v>
      </c>
      <c r="F210" s="7" t="s">
        <v>789</v>
      </c>
      <c r="G210" s="6">
        <v>2091557285.8199999</v>
      </c>
      <c r="H210" s="6">
        <f>_xll.BDP($A210,"IPO_OFFER_PX_TO_LAST_CLOSE_%_CHG",$A$1,$A$2)</f>
        <v>-30.470590000000001</v>
      </c>
      <c r="I210" s="6">
        <f>_xll.BDP($A210,"IPO_OFFER_PX_TO_1ST_OPEN_%_CHG",$A$1,$A$2)</f>
        <v>17.64706</v>
      </c>
      <c r="J210" s="6">
        <v>17</v>
      </c>
      <c r="K210" s="6">
        <v>19117600</v>
      </c>
      <c r="L210" s="7" t="s">
        <v>40</v>
      </c>
      <c r="M210" s="7" t="s">
        <v>41</v>
      </c>
      <c r="N210" s="7" t="s">
        <v>42</v>
      </c>
    </row>
    <row r="211" spans="1:14" s="4" customFormat="1" ht="13.2" x14ac:dyDescent="0.25">
      <c r="A211" s="7" t="s">
        <v>791</v>
      </c>
      <c r="B211" s="7" t="s">
        <v>792</v>
      </c>
      <c r="C211" s="7" t="s">
        <v>777</v>
      </c>
      <c r="D211" s="6">
        <v>3.2</v>
      </c>
      <c r="E211" s="7" t="s">
        <v>793</v>
      </c>
      <c r="F211" s="7" t="s">
        <v>792</v>
      </c>
      <c r="G211" s="6">
        <v>551680000.00000012</v>
      </c>
      <c r="H211" s="6">
        <f>_xll.BDP($A211,"IPO_OFFER_PX_TO_LAST_CLOSE_%_CHG",$A$1,$A$2)</f>
        <v>-81.176469999999995</v>
      </c>
      <c r="I211" s="6">
        <f>_xll.BDP($A211,"IPO_OFFER_PX_TO_1ST_OPEN_%_CHG",$A$1,$A$2)</f>
        <v>-4.1176469999999998</v>
      </c>
      <c r="J211" s="6">
        <v>17</v>
      </c>
      <c r="K211" s="6">
        <v>29411800</v>
      </c>
      <c r="L211" s="7" t="s">
        <v>102</v>
      </c>
      <c r="M211" s="7" t="s">
        <v>103</v>
      </c>
      <c r="N211" s="7" t="s">
        <v>104</v>
      </c>
    </row>
    <row r="212" spans="1:14" s="4" customFormat="1" ht="13.2" x14ac:dyDescent="0.25">
      <c r="A212" s="7" t="s">
        <v>794</v>
      </c>
      <c r="B212" s="7" t="s">
        <v>795</v>
      </c>
      <c r="C212" s="7" t="s">
        <v>777</v>
      </c>
      <c r="D212" s="6">
        <v>2.2999999999999998</v>
      </c>
      <c r="E212" s="7" t="s">
        <v>796</v>
      </c>
      <c r="F212" s="7" t="s">
        <v>795</v>
      </c>
      <c r="G212" s="6">
        <v>228896876.29999998</v>
      </c>
      <c r="H212" s="6">
        <f>_xll.BDP($A212,"IPO_OFFER_PX_TO_LAST_CLOSE_%_CHG",$A$1,$A$2)</f>
        <v>-89.047619999999995</v>
      </c>
      <c r="I212" s="6">
        <f>_xll.BDP($A212,"IPO_OFFER_PX_TO_1ST_OPEN_%_CHG",$A$1,$A$2)</f>
        <v>10.71429</v>
      </c>
      <c r="J212" s="6">
        <v>21</v>
      </c>
      <c r="K212" s="6">
        <v>11000000</v>
      </c>
      <c r="L212" s="7" t="s">
        <v>102</v>
      </c>
      <c r="M212" s="7" t="s">
        <v>153</v>
      </c>
      <c r="N212" s="7" t="s">
        <v>154</v>
      </c>
    </row>
    <row r="213" spans="1:14" s="4" customFormat="1" ht="13.2" x14ac:dyDescent="0.25">
      <c r="A213" s="7" t="s">
        <v>797</v>
      </c>
      <c r="B213" s="7" t="s">
        <v>798</v>
      </c>
      <c r="C213" s="7" t="s">
        <v>799</v>
      </c>
      <c r="D213" s="6">
        <v>4.7699999999999996</v>
      </c>
      <c r="E213" s="7" t="s">
        <v>800</v>
      </c>
      <c r="F213" s="7" t="s">
        <v>798</v>
      </c>
      <c r="G213" s="6">
        <v>126576452.87999998</v>
      </c>
      <c r="H213" s="6">
        <f>_xll.BDP($A213,"IPO_OFFER_PX_TO_LAST_CLOSE_%_CHG",$A$1,$A$2)</f>
        <v>-73.5</v>
      </c>
      <c r="I213" s="6">
        <f>_xll.BDP($A213,"IPO_OFFER_PX_TO_1ST_OPEN_%_CHG",$A$1,$A$2)</f>
        <v>45.833329999999997</v>
      </c>
      <c r="J213" s="6">
        <v>18</v>
      </c>
      <c r="K213" s="6">
        <v>7000000</v>
      </c>
      <c r="L213" s="7" t="s">
        <v>21</v>
      </c>
      <c r="M213" s="7" t="s">
        <v>87</v>
      </c>
      <c r="N213" s="7" t="s">
        <v>88</v>
      </c>
    </row>
    <row r="214" spans="1:14" s="4" customFormat="1" ht="13.2" x14ac:dyDescent="0.25">
      <c r="A214" s="7" t="s">
        <v>801</v>
      </c>
      <c r="B214" s="7" t="s">
        <v>802</v>
      </c>
      <c r="C214" s="7" t="s">
        <v>799</v>
      </c>
      <c r="D214" s="6">
        <v>7.7</v>
      </c>
      <c r="E214" s="7" t="s">
        <v>803</v>
      </c>
      <c r="F214" s="7" t="s">
        <v>802</v>
      </c>
      <c r="G214" s="6">
        <v>1321687782.8</v>
      </c>
      <c r="H214" s="6">
        <f>_xll.BDP($A214,"IPO_OFFER_PX_TO_LAST_CLOSE_%_CHG",$A$1,$A$2)</f>
        <v>-72.5</v>
      </c>
      <c r="I214" s="6">
        <f>_xll.BDP($A214,"IPO_OFFER_PX_TO_1ST_OPEN_%_CHG",$A$1,$A$2)</f>
        <v>31.25</v>
      </c>
      <c r="J214" s="6">
        <v>28</v>
      </c>
      <c r="K214" s="6">
        <v>19121000</v>
      </c>
      <c r="L214" s="7" t="s">
        <v>33</v>
      </c>
      <c r="M214" s="7" t="s">
        <v>34</v>
      </c>
      <c r="N214" s="7" t="s">
        <v>35</v>
      </c>
    </row>
    <row r="215" spans="1:14" s="4" customFormat="1" ht="13.2" x14ac:dyDescent="0.25">
      <c r="A215" s="7" t="s">
        <v>804</v>
      </c>
      <c r="B215" s="7" t="s">
        <v>805</v>
      </c>
      <c r="C215" s="7" t="s">
        <v>799</v>
      </c>
      <c r="D215" s="6">
        <v>29.16</v>
      </c>
      <c r="E215" s="7" t="s">
        <v>806</v>
      </c>
      <c r="F215" s="7" t="s">
        <v>805</v>
      </c>
      <c r="G215" s="6">
        <v>2247116110.2000003</v>
      </c>
      <c r="H215" s="6">
        <f>_xll.BDP($A215,"IPO_OFFER_PX_TO_LAST_CLOSE_%_CHG",$A$1,$A$2)</f>
        <v>12.15385</v>
      </c>
      <c r="I215" s="6">
        <f>_xll.BDP($A215,"IPO_OFFER_PX_TO_1ST_OPEN_%_CHG",$A$1,$A$2)</f>
        <v>-2.8846150000000002</v>
      </c>
      <c r="J215" s="6">
        <v>26</v>
      </c>
      <c r="K215" s="6">
        <v>10500000</v>
      </c>
      <c r="L215" s="7" t="s">
        <v>40</v>
      </c>
      <c r="M215" s="7" t="s">
        <v>41</v>
      </c>
      <c r="N215" s="7" t="s">
        <v>42</v>
      </c>
    </row>
    <row r="216" spans="1:14" s="4" customFormat="1" ht="13.2" x14ac:dyDescent="0.25">
      <c r="A216" s="7" t="s">
        <v>807</v>
      </c>
      <c r="B216" s="7" t="s">
        <v>808</v>
      </c>
      <c r="C216" s="7" t="s">
        <v>799</v>
      </c>
      <c r="D216" s="6">
        <v>19.46</v>
      </c>
      <c r="E216" s="7" t="s">
        <v>809</v>
      </c>
      <c r="F216" s="7" t="s">
        <v>808</v>
      </c>
      <c r="G216" s="6">
        <v>6675664573.7600002</v>
      </c>
      <c r="H216" s="6">
        <f>_xll.BDP($A216,"IPO_OFFER_PX_TO_LAST_CLOSE_%_CHG",$A$1,$A$2)</f>
        <v>-44.4</v>
      </c>
      <c r="I216" s="6">
        <f>_xll.BDP($A216,"IPO_OFFER_PX_TO_1ST_OPEN_%_CHG",$A$1,$A$2)</f>
        <v>31.428570000000001</v>
      </c>
      <c r="J216" s="6">
        <v>35</v>
      </c>
      <c r="K216" s="6">
        <v>35000000</v>
      </c>
      <c r="L216" s="7" t="s">
        <v>40</v>
      </c>
      <c r="M216" s="7" t="s">
        <v>41</v>
      </c>
      <c r="N216" s="7" t="s">
        <v>275</v>
      </c>
    </row>
    <row r="217" spans="1:14" s="4" customFormat="1" ht="13.2" x14ac:dyDescent="0.25">
      <c r="A217" s="7" t="s">
        <v>810</v>
      </c>
      <c r="B217" s="7" t="s">
        <v>811</v>
      </c>
      <c r="C217" s="7" t="s">
        <v>799</v>
      </c>
      <c r="D217" s="6">
        <v>100.12</v>
      </c>
      <c r="E217" s="7" t="s">
        <v>812</v>
      </c>
      <c r="F217" s="7" t="s">
        <v>811</v>
      </c>
      <c r="G217" s="6">
        <v>5495345410.6800003</v>
      </c>
      <c r="H217" s="6">
        <f>_xll.BDP($A217,"IPO_OFFER_PX_TO_LAST_CLOSE_%_CHG",$A$1,$A$2)</f>
        <v>127.5455</v>
      </c>
      <c r="I217" s="6">
        <f>_xll.BDP($A217,"IPO_OFFER_PX_TO_1ST_OPEN_%_CHG",$A$1,$A$2)</f>
        <v>54.545459999999999</v>
      </c>
      <c r="J217" s="6">
        <v>44</v>
      </c>
      <c r="K217" s="6">
        <v>6875000</v>
      </c>
      <c r="L217" s="7" t="s">
        <v>33</v>
      </c>
      <c r="M217" s="7" t="s">
        <v>653</v>
      </c>
      <c r="N217" s="7" t="s">
        <v>653</v>
      </c>
    </row>
    <row r="218" spans="1:14" s="4" customFormat="1" ht="13.2" x14ac:dyDescent="0.25">
      <c r="A218" s="7" t="s">
        <v>813</v>
      </c>
      <c r="B218" s="7" t="s">
        <v>814</v>
      </c>
      <c r="C218" s="7" t="s">
        <v>799</v>
      </c>
      <c r="D218" s="6">
        <v>19.670000000000002</v>
      </c>
      <c r="E218" s="7" t="s">
        <v>815</v>
      </c>
      <c r="F218" s="7" t="s">
        <v>814</v>
      </c>
      <c r="G218" s="6">
        <v>1196840170.8900001</v>
      </c>
      <c r="H218" s="6">
        <f>_xll.BDP($A218,"IPO_OFFER_PX_TO_LAST_CLOSE_%_CHG",$A$1,$A$2)</f>
        <v>-95.985770000000002</v>
      </c>
      <c r="I218" s="6">
        <f>_xll.BDP($A218,"IPO_OFFER_PX_TO_1ST_OPEN_%_CHG",$A$1,$A$2)</f>
        <v>100</v>
      </c>
      <c r="J218" s="6">
        <v>14</v>
      </c>
      <c r="K218" s="6">
        <v>8682100</v>
      </c>
      <c r="L218" s="7" t="s">
        <v>21</v>
      </c>
      <c r="M218" s="7" t="s">
        <v>22</v>
      </c>
      <c r="N218" s="7" t="s">
        <v>22</v>
      </c>
    </row>
    <row r="219" spans="1:14" s="4" customFormat="1" ht="13.2" x14ac:dyDescent="0.25">
      <c r="A219" s="7" t="s">
        <v>816</v>
      </c>
      <c r="B219" s="7" t="s">
        <v>817</v>
      </c>
      <c r="C219" s="7" t="s">
        <v>799</v>
      </c>
      <c r="D219" s="6"/>
      <c r="E219" s="7" t="s">
        <v>818</v>
      </c>
      <c r="F219" s="7" t="s">
        <v>817</v>
      </c>
      <c r="G219" s="6"/>
      <c r="H219" s="6" t="str">
        <f>_xll.BDP($A219,"IPO_OFFER_PX_TO_LAST_CLOSE_%_CHG",$A$1,$A$2)</f>
        <v>#N/A N/A</v>
      </c>
      <c r="I219" s="6">
        <f>_xll.BDP($A219,"IPO_OFFER_PX_TO_1ST_OPEN_%_CHG",$A$1,$A$2)</f>
        <v>-1</v>
      </c>
      <c r="J219" s="6">
        <v>10</v>
      </c>
      <c r="K219" s="6">
        <v>5000000</v>
      </c>
      <c r="L219" s="7"/>
      <c r="M219" s="7"/>
      <c r="N219" s="7"/>
    </row>
    <row r="220" spans="1:14" s="4" customFormat="1" ht="13.2" x14ac:dyDescent="0.25">
      <c r="A220" s="7" t="s">
        <v>819</v>
      </c>
      <c r="B220" s="7" t="s">
        <v>820</v>
      </c>
      <c r="C220" s="7" t="s">
        <v>799</v>
      </c>
      <c r="D220" s="6"/>
      <c r="E220" s="7" t="s">
        <v>821</v>
      </c>
      <c r="F220" s="7" t="s">
        <v>820</v>
      </c>
      <c r="G220" s="6"/>
      <c r="H220" s="6" t="str">
        <f>_xll.BDP($A220,"IPO_OFFER_PX_TO_LAST_CLOSE_%_CHG",$A$1,$A$2)</f>
        <v>#N/A N/A</v>
      </c>
      <c r="I220" s="6">
        <f>_xll.BDP($A220,"IPO_OFFER_PX_TO_1ST_OPEN_%_CHG",$A$1,$A$2)</f>
        <v>1</v>
      </c>
      <c r="J220" s="6">
        <v>10</v>
      </c>
      <c r="K220" s="6">
        <v>22000000</v>
      </c>
      <c r="L220" s="7"/>
      <c r="M220" s="7"/>
      <c r="N220" s="7"/>
    </row>
    <row r="221" spans="1:14" s="4" customFormat="1" ht="13.2" x14ac:dyDescent="0.25">
      <c r="A221" s="7" t="s">
        <v>822</v>
      </c>
      <c r="B221" s="7" t="s">
        <v>823</v>
      </c>
      <c r="C221" s="7" t="s">
        <v>799</v>
      </c>
      <c r="D221" s="6"/>
      <c r="E221" s="7" t="s">
        <v>824</v>
      </c>
      <c r="F221" s="7" t="s">
        <v>823</v>
      </c>
      <c r="G221" s="6"/>
      <c r="H221" s="6" t="str">
        <f>_xll.BDP($A221,"IPO_OFFER_PX_TO_LAST_CLOSE_%_CHG",$A$1,$A$2)</f>
        <v>#N/A N/A</v>
      </c>
      <c r="I221" s="6">
        <f>_xll.BDP($A221,"IPO_OFFER_PX_TO_1ST_OPEN_%_CHG",$A$1,$A$2)</f>
        <v>0.5</v>
      </c>
      <c r="J221" s="6">
        <v>10</v>
      </c>
      <c r="K221" s="6">
        <v>22000000</v>
      </c>
      <c r="L221" s="7"/>
      <c r="M221" s="7"/>
      <c r="N221" s="7"/>
    </row>
    <row r="222" spans="1:14" s="4" customFormat="1" ht="13.2" x14ac:dyDescent="0.25">
      <c r="A222" s="7" t="s">
        <v>825</v>
      </c>
      <c r="B222" s="7" t="s">
        <v>826</v>
      </c>
      <c r="C222" s="7" t="s">
        <v>799</v>
      </c>
      <c r="D222" s="6">
        <v>1.56</v>
      </c>
      <c r="E222" s="7" t="s">
        <v>827</v>
      </c>
      <c r="F222" s="7" t="s">
        <v>826</v>
      </c>
      <c r="G222" s="6">
        <v>471213016.56</v>
      </c>
      <c r="H222" s="6">
        <f>_xll.BDP($A222,"IPO_OFFER_PX_TO_LAST_CLOSE_%_CHG",$A$1,$A$2)</f>
        <v>-84.4</v>
      </c>
      <c r="I222" s="6">
        <f>_xll.BDP($A222,"IPO_OFFER_PX_TO_1ST_OPEN_%_CHG",$A$1,$A$2)</f>
        <v>0.5</v>
      </c>
      <c r="J222" s="6">
        <v>10</v>
      </c>
      <c r="K222" s="6">
        <v>22000000</v>
      </c>
      <c r="L222" s="7" t="s">
        <v>21</v>
      </c>
      <c r="M222" s="7" t="s">
        <v>22</v>
      </c>
      <c r="N222" s="7" t="s">
        <v>22</v>
      </c>
    </row>
    <row r="223" spans="1:14" s="4" customFormat="1" ht="13.2" x14ac:dyDescent="0.25">
      <c r="A223" s="7" t="s">
        <v>828</v>
      </c>
      <c r="B223" s="7" t="s">
        <v>823</v>
      </c>
      <c r="C223" s="7" t="s">
        <v>799</v>
      </c>
      <c r="D223" s="6"/>
      <c r="E223" s="7" t="s">
        <v>829</v>
      </c>
      <c r="F223" s="7" t="s">
        <v>823</v>
      </c>
      <c r="G223" s="6"/>
      <c r="H223" s="6" t="str">
        <f>_xll.BDP($A223,"IPO_OFFER_PX_TO_LAST_CLOSE_%_CHG",$A$1,$A$2)</f>
        <v>#N/A N/A</v>
      </c>
      <c r="I223" s="6">
        <f>_xll.BDP($A223,"IPO_OFFER_PX_TO_1ST_OPEN_%_CHG",$A$1,$A$2)</f>
        <v>0</v>
      </c>
      <c r="J223" s="6">
        <v>10</v>
      </c>
      <c r="K223" s="6">
        <v>22000000</v>
      </c>
      <c r="L223" s="7"/>
      <c r="M223" s="7"/>
      <c r="N223" s="7"/>
    </row>
    <row r="224" spans="1:14" s="4" customFormat="1" ht="13.2" x14ac:dyDescent="0.25">
      <c r="A224" s="7" t="s">
        <v>830</v>
      </c>
      <c r="B224" s="7" t="s">
        <v>831</v>
      </c>
      <c r="C224" s="7" t="s">
        <v>799</v>
      </c>
      <c r="D224" s="6"/>
      <c r="E224" s="7" t="s">
        <v>832</v>
      </c>
      <c r="F224" s="7" t="s">
        <v>831</v>
      </c>
      <c r="G224" s="6"/>
      <c r="H224" s="6" t="str">
        <f>_xll.BDP($A224,"IPO_OFFER_PX_TO_LAST_CLOSE_%_CHG",$A$1,$A$2)</f>
        <v>#N/A N/A</v>
      </c>
      <c r="I224" s="6">
        <f>_xll.BDP($A224,"IPO_OFFER_PX_TO_1ST_OPEN_%_CHG",$A$1,$A$2)</f>
        <v>22.22222</v>
      </c>
      <c r="J224" s="6">
        <v>18</v>
      </c>
      <c r="K224" s="6">
        <v>15000000</v>
      </c>
      <c r="L224" s="7"/>
      <c r="M224" s="7"/>
      <c r="N224" s="7"/>
    </row>
    <row r="225" spans="1:14" s="4" customFormat="1" ht="13.2" x14ac:dyDescent="0.25">
      <c r="A225" s="7" t="s">
        <v>833</v>
      </c>
      <c r="B225" s="7" t="s">
        <v>834</v>
      </c>
      <c r="C225" s="7" t="s">
        <v>799</v>
      </c>
      <c r="D225" s="6">
        <v>57.18</v>
      </c>
      <c r="E225" s="7" t="s">
        <v>835</v>
      </c>
      <c r="F225" s="7" t="s">
        <v>834</v>
      </c>
      <c r="G225" s="6">
        <v>7642752447.8399992</v>
      </c>
      <c r="H225" s="6">
        <f>_xll.BDP($A225,"IPO_OFFER_PX_TO_LAST_CLOSE_%_CHG",$A$1,$A$2)</f>
        <v>84.451610000000002</v>
      </c>
      <c r="I225" s="6">
        <f>_xll.BDP($A225,"IPO_OFFER_PX_TO_1ST_OPEN_%_CHG",$A$1,$A$2)</f>
        <v>24.354839999999999</v>
      </c>
      <c r="J225" s="6">
        <v>31</v>
      </c>
      <c r="K225" s="6">
        <v>13200000</v>
      </c>
      <c r="L225" s="7" t="s">
        <v>40</v>
      </c>
      <c r="M225" s="7" t="s">
        <v>41</v>
      </c>
      <c r="N225" s="7" t="s">
        <v>42</v>
      </c>
    </row>
    <row r="226" spans="1:14" s="4" customFormat="1" ht="13.2" x14ac:dyDescent="0.25">
      <c r="A226" s="7" t="s">
        <v>836</v>
      </c>
      <c r="B226" s="7" t="s">
        <v>837</v>
      </c>
      <c r="C226" s="7" t="s">
        <v>799</v>
      </c>
      <c r="D226" s="6">
        <v>1.07</v>
      </c>
      <c r="E226" s="7" t="s">
        <v>838</v>
      </c>
      <c r="F226" s="7" t="s">
        <v>837</v>
      </c>
      <c r="G226" s="6">
        <v>30642439.580000002</v>
      </c>
      <c r="H226" s="6">
        <f>_xll.BDP($A226,"IPO_OFFER_PX_TO_LAST_CLOSE_%_CHG",$A$1,$A$2)</f>
        <v>-98.573329999999999</v>
      </c>
      <c r="I226" s="6" t="str">
        <f>_xll.BDP($A226,"IPO_OFFER_PX_TO_1ST_OPEN_%_CHG",$A$1,$A$2)</f>
        <v>#N/A N/A</v>
      </c>
      <c r="J226" s="6">
        <v>5</v>
      </c>
      <c r="K226" s="6">
        <v>2400000</v>
      </c>
      <c r="L226" s="7" t="s">
        <v>33</v>
      </c>
      <c r="M226" s="7" t="s">
        <v>34</v>
      </c>
      <c r="N226" s="7" t="s">
        <v>839</v>
      </c>
    </row>
    <row r="227" spans="1:14" s="4" customFormat="1" ht="13.2" x14ac:dyDescent="0.25">
      <c r="A227" s="7" t="s">
        <v>840</v>
      </c>
      <c r="B227" s="7" t="s">
        <v>841</v>
      </c>
      <c r="C227" s="7" t="s">
        <v>842</v>
      </c>
      <c r="D227" s="6">
        <v>2.17</v>
      </c>
      <c r="E227" s="7" t="s">
        <v>843</v>
      </c>
      <c r="F227" s="7" t="s">
        <v>841</v>
      </c>
      <c r="G227" s="6">
        <v>21347547.478876028</v>
      </c>
      <c r="H227" s="6">
        <f>_xll.BDP($A227,"IPO_OFFER_PX_TO_LAST_CLOSE_%_CHG",$A$1,$A$2)</f>
        <v>-99.983540000000005</v>
      </c>
      <c r="I227" s="6" t="str">
        <f>_xll.BDP($A227,"IPO_OFFER_PX_TO_1ST_OPEN_%_CHG",$A$1,$A$2)</f>
        <v>#N/A N/A</v>
      </c>
      <c r="J227" s="6">
        <v>5</v>
      </c>
      <c r="K227" s="6">
        <v>8000000</v>
      </c>
      <c r="L227" s="7" t="s">
        <v>47</v>
      </c>
      <c r="M227" s="7" t="s">
        <v>188</v>
      </c>
      <c r="N227" s="7" t="s">
        <v>189</v>
      </c>
    </row>
    <row r="228" spans="1:14" s="4" customFormat="1" ht="13.2" x14ac:dyDescent="0.25">
      <c r="A228" s="7" t="s">
        <v>844</v>
      </c>
      <c r="B228" s="7" t="s">
        <v>845</v>
      </c>
      <c r="C228" s="7" t="s">
        <v>846</v>
      </c>
      <c r="D228" s="6">
        <v>13.54</v>
      </c>
      <c r="E228" s="7" t="s">
        <v>847</v>
      </c>
      <c r="F228" s="7" t="s">
        <v>845</v>
      </c>
      <c r="G228" s="6"/>
      <c r="H228" s="6">
        <f>_xll.BDP($A228,"IPO_OFFER_PX_TO_LAST_CLOSE_%_CHG",$A$1,$A$2)</f>
        <v>-32.299999999999997</v>
      </c>
      <c r="I228" s="6" t="str">
        <f>_xll.BDP($A228,"IPO_OFFER_PX_TO_1ST_OPEN_%_CHG",$A$1,$A$2)</f>
        <v>#N/A N/A</v>
      </c>
      <c r="J228" s="6">
        <v>20</v>
      </c>
      <c r="K228" s="6">
        <v>50000000</v>
      </c>
      <c r="L228" s="7"/>
      <c r="M228" s="7"/>
      <c r="N228" s="7"/>
    </row>
    <row r="229" spans="1:14" s="4" customFormat="1" ht="13.2" x14ac:dyDescent="0.25">
      <c r="A229" s="7" t="s">
        <v>848</v>
      </c>
      <c r="B229" s="7" t="s">
        <v>849</v>
      </c>
      <c r="C229" s="7" t="s">
        <v>850</v>
      </c>
      <c r="D229" s="6">
        <v>5.3</v>
      </c>
      <c r="E229" s="7" t="s">
        <v>851</v>
      </c>
      <c r="F229" s="7" t="s">
        <v>849</v>
      </c>
      <c r="G229" s="6">
        <v>284154348.39999998</v>
      </c>
      <c r="H229" s="6">
        <f>_xll.BDP($A229,"IPO_OFFER_PX_TO_LAST_CLOSE_%_CHG",$A$1,$A$2)</f>
        <v>-66.875</v>
      </c>
      <c r="I229" s="6">
        <f>_xll.BDP($A229,"IPO_OFFER_PX_TO_1ST_OPEN_%_CHG",$A$1,$A$2)</f>
        <v>29.5</v>
      </c>
      <c r="J229" s="6">
        <v>16</v>
      </c>
      <c r="K229" s="6">
        <v>6000000</v>
      </c>
      <c r="L229" s="7" t="s">
        <v>21</v>
      </c>
      <c r="M229" s="7" t="s">
        <v>573</v>
      </c>
      <c r="N229" s="7" t="s">
        <v>573</v>
      </c>
    </row>
    <row r="230" spans="1:14" s="4" customFormat="1" ht="13.2" x14ac:dyDescent="0.25">
      <c r="A230" s="7" t="s">
        <v>852</v>
      </c>
      <c r="B230" s="7" t="s">
        <v>853</v>
      </c>
      <c r="C230" s="7" t="s">
        <v>850</v>
      </c>
      <c r="D230" s="6"/>
      <c r="E230" s="7" t="s">
        <v>854</v>
      </c>
      <c r="F230" s="7" t="s">
        <v>853</v>
      </c>
      <c r="G230" s="6"/>
      <c r="H230" s="6" t="str">
        <f>_xll.BDP($A230,"IPO_OFFER_PX_TO_LAST_CLOSE_%_CHG",$A$1,$A$2)</f>
        <v>#N/A N/A</v>
      </c>
      <c r="I230" s="6">
        <f>_xll.BDP($A230,"IPO_OFFER_PX_TO_1ST_OPEN_%_CHG",$A$1,$A$2)</f>
        <v>-12.5</v>
      </c>
      <c r="J230" s="6">
        <v>16</v>
      </c>
      <c r="K230" s="6">
        <v>6250000</v>
      </c>
      <c r="L230" s="7"/>
      <c r="M230" s="7"/>
      <c r="N230" s="7"/>
    </row>
    <row r="231" spans="1:14" s="4" customFormat="1" ht="13.2" x14ac:dyDescent="0.25">
      <c r="A231" s="7" t="s">
        <v>855</v>
      </c>
      <c r="B231" s="7" t="s">
        <v>856</v>
      </c>
      <c r="C231" s="7" t="s">
        <v>850</v>
      </c>
      <c r="D231" s="6">
        <v>4.96</v>
      </c>
      <c r="E231" s="7" t="s">
        <v>857</v>
      </c>
      <c r="F231" s="7" t="s">
        <v>856</v>
      </c>
      <c r="G231" s="6">
        <v>155517794.24000001</v>
      </c>
      <c r="H231" s="6">
        <f>_xll.BDP($A231,"IPO_OFFER_PX_TO_LAST_CLOSE_%_CHG",$A$1,$A$2)</f>
        <v>-95.831940000000003</v>
      </c>
      <c r="I231" s="6">
        <f>_xll.BDP($A231,"IPO_OFFER_PX_TO_1ST_OPEN_%_CHG",$A$1,$A$2)</f>
        <v>30</v>
      </c>
      <c r="J231" s="6">
        <v>17</v>
      </c>
      <c r="K231" s="6">
        <v>14000000</v>
      </c>
      <c r="L231" s="7" t="s">
        <v>21</v>
      </c>
      <c r="M231" s="7" t="s">
        <v>62</v>
      </c>
      <c r="N231" s="7" t="s">
        <v>62</v>
      </c>
    </row>
    <row r="232" spans="1:14" s="4" customFormat="1" ht="13.2" x14ac:dyDescent="0.25">
      <c r="A232" s="7" t="s">
        <v>858</v>
      </c>
      <c r="B232" s="7" t="s">
        <v>859</v>
      </c>
      <c r="C232" s="7" t="s">
        <v>850</v>
      </c>
      <c r="D232" s="6">
        <v>1.55</v>
      </c>
      <c r="E232" s="7" t="s">
        <v>860</v>
      </c>
      <c r="F232" s="7" t="s">
        <v>859</v>
      </c>
      <c r="G232" s="6">
        <v>6661493.9000000004</v>
      </c>
      <c r="H232" s="6">
        <f>_xll.BDP($A232,"IPO_OFFER_PX_TO_LAST_CLOSE_%_CHG",$A$1,$A$2)</f>
        <v>-98.708340000000007</v>
      </c>
      <c r="I232" s="6">
        <f>_xll.BDP($A232,"IPO_OFFER_PX_TO_1ST_OPEN_%_CHG",$A$1,$A$2)</f>
        <v>-0.83333330000000005</v>
      </c>
      <c r="J232" s="6">
        <v>6</v>
      </c>
      <c r="K232" s="6">
        <v>2500000</v>
      </c>
      <c r="L232" s="7" t="s">
        <v>21</v>
      </c>
      <c r="M232" s="7" t="s">
        <v>22</v>
      </c>
      <c r="N232" s="7" t="s">
        <v>22</v>
      </c>
    </row>
    <row r="233" spans="1:14" s="4" customFormat="1" ht="13.2" x14ac:dyDescent="0.25">
      <c r="A233" s="7" t="s">
        <v>861</v>
      </c>
      <c r="B233" s="7" t="s">
        <v>862</v>
      </c>
      <c r="C233" s="7" t="s">
        <v>850</v>
      </c>
      <c r="D233" s="6"/>
      <c r="E233" s="7" t="s">
        <v>863</v>
      </c>
      <c r="F233" s="7" t="s">
        <v>862</v>
      </c>
      <c r="G233" s="6"/>
      <c r="H233" s="6" t="str">
        <f>_xll.BDP($A233,"IPO_OFFER_PX_TO_LAST_CLOSE_%_CHG",$A$1,$A$2)</f>
        <v>#N/A N/A</v>
      </c>
      <c r="I233" s="6">
        <f>_xll.BDP($A233,"IPO_OFFER_PX_TO_1ST_OPEN_%_CHG",$A$1,$A$2)</f>
        <v>26</v>
      </c>
      <c r="J233" s="6">
        <v>15</v>
      </c>
      <c r="K233" s="6">
        <v>37500000</v>
      </c>
      <c r="L233" s="7"/>
      <c r="M233" s="7"/>
      <c r="N233" s="7"/>
    </row>
    <row r="234" spans="1:14" s="4" customFormat="1" ht="13.2" x14ac:dyDescent="0.25">
      <c r="A234" s="7" t="s">
        <v>864</v>
      </c>
      <c r="B234" s="7" t="s">
        <v>865</v>
      </c>
      <c r="C234" s="7" t="s">
        <v>866</v>
      </c>
      <c r="D234" s="6">
        <v>21.73</v>
      </c>
      <c r="E234" s="7" t="s">
        <v>867</v>
      </c>
      <c r="F234" s="7" t="s">
        <v>865</v>
      </c>
      <c r="G234" s="6">
        <v>3906044511.1199999</v>
      </c>
      <c r="H234" s="6">
        <f>_xll.BDP($A234,"IPO_OFFER_PX_TO_LAST_CLOSE_%_CHG",$A$1,$A$2)</f>
        <v>-16.423079999999999</v>
      </c>
      <c r="I234" s="6">
        <f>_xll.BDP($A234,"IPO_OFFER_PX_TO_1ST_OPEN_%_CHG",$A$1,$A$2)</f>
        <v>58.346150000000002</v>
      </c>
      <c r="J234" s="6">
        <v>26</v>
      </c>
      <c r="K234" s="6">
        <v>23300000</v>
      </c>
      <c r="L234" s="7" t="s">
        <v>21</v>
      </c>
      <c r="M234" s="7" t="s">
        <v>365</v>
      </c>
      <c r="N234" s="7" t="s">
        <v>365</v>
      </c>
    </row>
    <row r="235" spans="1:14" s="4" customFormat="1" ht="13.2" x14ac:dyDescent="0.25">
      <c r="A235" s="7" t="s">
        <v>868</v>
      </c>
      <c r="B235" s="7" t="s">
        <v>869</v>
      </c>
      <c r="C235" s="7" t="s">
        <v>866</v>
      </c>
      <c r="D235" s="6">
        <v>0.85499999999999998</v>
      </c>
      <c r="E235" s="7" t="s">
        <v>870</v>
      </c>
      <c r="F235" s="7" t="s">
        <v>869</v>
      </c>
      <c r="G235" s="6">
        <v>67290516.089999989</v>
      </c>
      <c r="H235" s="6">
        <f>_xll.BDP($A235,"IPO_OFFER_PX_TO_LAST_CLOSE_%_CHG",$A$1,$A$2)</f>
        <v>-99.144999999999996</v>
      </c>
      <c r="I235" s="6">
        <f>_xll.BDP($A235,"IPO_OFFER_PX_TO_1ST_OPEN_%_CHG",$A$1,$A$2)</f>
        <v>0</v>
      </c>
      <c r="J235" s="6">
        <v>5</v>
      </c>
      <c r="K235" s="6">
        <v>2200000</v>
      </c>
      <c r="L235" s="7" t="s">
        <v>47</v>
      </c>
      <c r="M235" s="7" t="s">
        <v>871</v>
      </c>
      <c r="N235" s="7" t="s">
        <v>871</v>
      </c>
    </row>
    <row r="236" spans="1:14" s="4" customFormat="1" ht="13.2" x14ac:dyDescent="0.25">
      <c r="A236" s="7" t="s">
        <v>872</v>
      </c>
      <c r="B236" s="7" t="s">
        <v>873</v>
      </c>
      <c r="C236" s="7" t="s">
        <v>866</v>
      </c>
      <c r="D236" s="6"/>
      <c r="E236" s="7" t="s">
        <v>874</v>
      </c>
      <c r="F236" s="7" t="s">
        <v>873</v>
      </c>
      <c r="G236" s="6"/>
      <c r="H236" s="6" t="str">
        <f>_xll.BDP($A236,"IPO_OFFER_PX_TO_LAST_CLOSE_%_CHG",$A$1,$A$2)</f>
        <v>#N/A N/A</v>
      </c>
      <c r="I236" s="6">
        <f>_xll.BDP($A236,"IPO_OFFER_PX_TO_1ST_OPEN_%_CHG",$A$1,$A$2)</f>
        <v>22.22222</v>
      </c>
      <c r="J236" s="6">
        <v>36</v>
      </c>
      <c r="K236" s="6">
        <v>23000000</v>
      </c>
      <c r="L236" s="7"/>
      <c r="M236" s="7"/>
      <c r="N236" s="7"/>
    </row>
    <row r="237" spans="1:14" s="4" customFormat="1" ht="13.2" x14ac:dyDescent="0.25">
      <c r="A237" s="7" t="s">
        <v>875</v>
      </c>
      <c r="B237" s="7" t="s">
        <v>876</v>
      </c>
      <c r="C237" s="7" t="s">
        <v>866</v>
      </c>
      <c r="D237" s="6">
        <v>23.48</v>
      </c>
      <c r="E237" s="7" t="s">
        <v>877</v>
      </c>
      <c r="F237" s="7" t="s">
        <v>876</v>
      </c>
      <c r="G237" s="6">
        <v>1983576734.6400001</v>
      </c>
      <c r="H237" s="6">
        <f>_xll.BDP($A237,"IPO_OFFER_PX_TO_LAST_CLOSE_%_CHG",$A$1,$A$2)</f>
        <v>23.578949999999999</v>
      </c>
      <c r="I237" s="6">
        <f>_xll.BDP($A237,"IPO_OFFER_PX_TO_1ST_OPEN_%_CHG",$A$1,$A$2)</f>
        <v>15.78947</v>
      </c>
      <c r="J237" s="6">
        <v>19</v>
      </c>
      <c r="K237" s="6">
        <v>11700000</v>
      </c>
      <c r="L237" s="7" t="s">
        <v>21</v>
      </c>
      <c r="M237" s="7" t="s">
        <v>22</v>
      </c>
      <c r="N237" s="7" t="s">
        <v>22</v>
      </c>
    </row>
    <row r="238" spans="1:14" s="4" customFormat="1" ht="13.2" x14ac:dyDescent="0.25">
      <c r="A238" s="7" t="s">
        <v>878</v>
      </c>
      <c r="B238" s="7" t="s">
        <v>879</v>
      </c>
      <c r="C238" s="7" t="s">
        <v>866</v>
      </c>
      <c r="D238" s="6"/>
      <c r="E238" s="7" t="s">
        <v>880</v>
      </c>
      <c r="F238" s="7" t="s">
        <v>879</v>
      </c>
      <c r="G238" s="6"/>
      <c r="H238" s="6" t="str">
        <f>_xll.BDP($A238,"IPO_OFFER_PX_TO_LAST_CLOSE_%_CHG",$A$1,$A$2)</f>
        <v>#N/A N/A</v>
      </c>
      <c r="I238" s="6">
        <f>_xll.BDP($A238,"IPO_OFFER_PX_TO_1ST_OPEN_%_CHG",$A$1,$A$2)</f>
        <v>-5.555555</v>
      </c>
      <c r="J238" s="6">
        <v>18</v>
      </c>
      <c r="K238" s="6">
        <v>51350000</v>
      </c>
      <c r="L238" s="7"/>
      <c r="M238" s="7"/>
      <c r="N238" s="7"/>
    </row>
    <row r="239" spans="1:14" s="4" customFormat="1" ht="13.2" x14ac:dyDescent="0.25">
      <c r="A239" s="7" t="s">
        <v>881</v>
      </c>
      <c r="B239" s="7" t="s">
        <v>882</v>
      </c>
      <c r="C239" s="7" t="s">
        <v>866</v>
      </c>
      <c r="D239" s="6"/>
      <c r="E239" s="7" t="s">
        <v>883</v>
      </c>
      <c r="F239" s="7" t="s">
        <v>882</v>
      </c>
      <c r="G239" s="6"/>
      <c r="H239" s="6" t="str">
        <f>_xll.BDP($A239,"IPO_OFFER_PX_TO_LAST_CLOSE_%_CHG",$A$1,$A$2)</f>
        <v>#N/A N/A</v>
      </c>
      <c r="I239" s="6">
        <f>_xll.BDP($A239,"IPO_OFFER_PX_TO_1ST_OPEN_%_CHG",$A$1,$A$2)</f>
        <v>33.333329999999997</v>
      </c>
      <c r="J239" s="6">
        <v>9</v>
      </c>
      <c r="K239" s="6">
        <v>4800000</v>
      </c>
      <c r="L239" s="7"/>
      <c r="M239" s="7"/>
      <c r="N239" s="7"/>
    </row>
    <row r="240" spans="1:14" s="4" customFormat="1" ht="13.2" x14ac:dyDescent="0.25">
      <c r="A240" s="7" t="s">
        <v>884</v>
      </c>
      <c r="B240" s="7" t="s">
        <v>885</v>
      </c>
      <c r="C240" s="7" t="s">
        <v>886</v>
      </c>
      <c r="D240" s="6">
        <v>5.95</v>
      </c>
      <c r="E240" s="7" t="s">
        <v>887</v>
      </c>
      <c r="F240" s="7" t="s">
        <v>885</v>
      </c>
      <c r="G240" s="6">
        <v>1393711155.55</v>
      </c>
      <c r="H240" s="6">
        <f>_xll.BDP($A240,"IPO_OFFER_PX_TO_LAST_CLOSE_%_CHG",$A$1,$A$2)</f>
        <v>-62.8125</v>
      </c>
      <c r="I240" s="6">
        <f>_xll.BDP($A240,"IPO_OFFER_PX_TO_1ST_OPEN_%_CHG",$A$1,$A$2)</f>
        <v>-8.75</v>
      </c>
      <c r="J240" s="6">
        <v>16</v>
      </c>
      <c r="K240" s="6">
        <v>16625000</v>
      </c>
      <c r="L240" s="7" t="s">
        <v>40</v>
      </c>
      <c r="M240" s="7" t="s">
        <v>41</v>
      </c>
      <c r="N240" s="7" t="s">
        <v>42</v>
      </c>
    </row>
    <row r="241" spans="1:14" s="4" customFormat="1" ht="13.2" x14ac:dyDescent="0.25">
      <c r="A241" s="7" t="s">
        <v>888</v>
      </c>
      <c r="B241" s="7" t="s">
        <v>889</v>
      </c>
      <c r="C241" s="7" t="s">
        <v>886</v>
      </c>
      <c r="D241" s="6">
        <v>22.3</v>
      </c>
      <c r="E241" s="7" t="s">
        <v>890</v>
      </c>
      <c r="F241" s="7" t="s">
        <v>889</v>
      </c>
      <c r="G241" s="6">
        <v>3825276148.1000004</v>
      </c>
      <c r="H241" s="6">
        <f>_xll.BDP($A241,"IPO_OFFER_PX_TO_LAST_CLOSE_%_CHG",$A$1,$A$2)</f>
        <v>48.66666</v>
      </c>
      <c r="I241" s="6">
        <f>_xll.BDP($A241,"IPO_OFFER_PX_TO_1ST_OPEN_%_CHG",$A$1,$A$2)</f>
        <v>32.333329999999997</v>
      </c>
      <c r="J241" s="6">
        <v>15</v>
      </c>
      <c r="K241" s="6">
        <v>25500000</v>
      </c>
      <c r="L241" s="7" t="s">
        <v>33</v>
      </c>
      <c r="M241" s="7" t="s">
        <v>34</v>
      </c>
      <c r="N241" s="7" t="s">
        <v>839</v>
      </c>
    </row>
    <row r="242" spans="1:14" s="4" customFormat="1" ht="13.2" x14ac:dyDescent="0.25">
      <c r="A242" s="7" t="s">
        <v>891</v>
      </c>
      <c r="B242" s="7" t="s">
        <v>892</v>
      </c>
      <c r="C242" s="7" t="s">
        <v>893</v>
      </c>
      <c r="D242" s="6"/>
      <c r="E242" s="7" t="s">
        <v>894</v>
      </c>
      <c r="F242" s="7" t="s">
        <v>892</v>
      </c>
      <c r="G242" s="6"/>
      <c r="H242" s="6" t="str">
        <f>_xll.BDP($A242,"IPO_OFFER_PX_TO_LAST_CLOSE_%_CHG",$A$1,$A$2)</f>
        <v>#N/A N/A</v>
      </c>
      <c r="I242" s="6">
        <f>_xll.BDP($A242,"IPO_OFFER_PX_TO_1ST_OPEN_%_CHG",$A$1,$A$2)</f>
        <v>5.084746</v>
      </c>
      <c r="J242" s="6">
        <v>59</v>
      </c>
      <c r="K242" s="6">
        <v>19067000</v>
      </c>
      <c r="L242" s="7"/>
      <c r="M242" s="7"/>
      <c r="N242" s="7"/>
    </row>
    <row r="243" spans="1:14" s="4" customFormat="1" ht="13.2" x14ac:dyDescent="0.25">
      <c r="A243" s="7" t="s">
        <v>895</v>
      </c>
      <c r="B243" s="7" t="s">
        <v>896</v>
      </c>
      <c r="C243" s="7" t="s">
        <v>897</v>
      </c>
      <c r="D243" s="6">
        <v>3.27</v>
      </c>
      <c r="E243" s="7" t="s">
        <v>898</v>
      </c>
      <c r="F243" s="7" t="s">
        <v>896</v>
      </c>
      <c r="G243" s="6">
        <v>9873877.1609999985</v>
      </c>
      <c r="H243" s="6">
        <f>_xll.BDP($A243,"IPO_OFFER_PX_TO_LAST_CLOSE_%_CHG",$A$1,$A$2)</f>
        <v>-98.742310000000003</v>
      </c>
      <c r="I243" s="6">
        <f>_xll.BDP($A243,"IPO_OFFER_PX_TO_1ST_OPEN_%_CHG",$A$1,$A$2)</f>
        <v>0.61538459999999995</v>
      </c>
      <c r="J243" s="6">
        <v>13</v>
      </c>
      <c r="K243" s="6">
        <v>2650000</v>
      </c>
      <c r="L243" s="7" t="s">
        <v>21</v>
      </c>
      <c r="M243" s="7" t="s">
        <v>87</v>
      </c>
      <c r="N243" s="7" t="s">
        <v>88</v>
      </c>
    </row>
    <row r="244" spans="1:14" s="4" customFormat="1" ht="13.2" x14ac:dyDescent="0.25">
      <c r="A244" s="7" t="s">
        <v>899</v>
      </c>
      <c r="B244" s="7" t="s">
        <v>900</v>
      </c>
      <c r="C244" s="7" t="s">
        <v>897</v>
      </c>
      <c r="D244" s="6"/>
      <c r="E244" s="7" t="s">
        <v>901</v>
      </c>
      <c r="F244" s="7" t="s">
        <v>900</v>
      </c>
      <c r="G244" s="6"/>
      <c r="H244" s="6" t="str">
        <f>_xll.BDP($A244,"IPO_OFFER_PX_TO_LAST_CLOSE_%_CHG",$A$1,$A$2)</f>
        <v>#N/A N/A</v>
      </c>
      <c r="I244" s="6">
        <f>_xll.BDP($A244,"IPO_OFFER_PX_TO_1ST_OPEN_%_CHG",$A$1,$A$2)</f>
        <v>-8.3333329999999997</v>
      </c>
      <c r="J244" s="6">
        <v>18</v>
      </c>
      <c r="K244" s="6">
        <v>7400000</v>
      </c>
      <c r="L244" s="7"/>
      <c r="M244" s="7"/>
      <c r="N244" s="7"/>
    </row>
    <row r="245" spans="1:14" s="4" customFormat="1" ht="13.2" x14ac:dyDescent="0.25">
      <c r="A245" s="7" t="s">
        <v>902</v>
      </c>
      <c r="B245" s="7" t="s">
        <v>903</v>
      </c>
      <c r="C245" s="7" t="s">
        <v>897</v>
      </c>
      <c r="D245" s="6">
        <v>2.19</v>
      </c>
      <c r="E245" s="7" t="s">
        <v>904</v>
      </c>
      <c r="F245" s="7" t="s">
        <v>903</v>
      </c>
      <c r="G245" s="6">
        <v>450516973.46999991</v>
      </c>
      <c r="H245" s="6">
        <f>_xll.BDP($A245,"IPO_OFFER_PX_TO_LAST_CLOSE_%_CHG",$A$1,$A$2)</f>
        <v>-89.05</v>
      </c>
      <c r="I245" s="6">
        <f>_xll.BDP($A245,"IPO_OFFER_PX_TO_1ST_OPEN_%_CHG",$A$1,$A$2)</f>
        <v>-2.5</v>
      </c>
      <c r="J245" s="6">
        <v>20</v>
      </c>
      <c r="K245" s="6">
        <v>10550000</v>
      </c>
      <c r="L245" s="7" t="s">
        <v>21</v>
      </c>
      <c r="M245" s="7" t="s">
        <v>22</v>
      </c>
      <c r="N245" s="7" t="s">
        <v>22</v>
      </c>
    </row>
    <row r="246" spans="1:14" s="4" customFormat="1" ht="13.2" x14ac:dyDescent="0.25">
      <c r="A246" s="7" t="s">
        <v>905</v>
      </c>
      <c r="B246" s="7" t="s">
        <v>906</v>
      </c>
      <c r="C246" s="7" t="s">
        <v>897</v>
      </c>
      <c r="D246" s="6">
        <v>7.19</v>
      </c>
      <c r="E246" s="7" t="s">
        <v>907</v>
      </c>
      <c r="F246" s="7" t="s">
        <v>906</v>
      </c>
      <c r="G246" s="6">
        <v>2647118386.0599999</v>
      </c>
      <c r="H246" s="6">
        <f>_xll.BDP($A246,"IPO_OFFER_PX_TO_LAST_CLOSE_%_CHG",$A$1,$A$2)</f>
        <v>-52.066670000000002</v>
      </c>
      <c r="I246" s="6">
        <f>_xll.BDP($A246,"IPO_OFFER_PX_TO_1ST_OPEN_%_CHG",$A$1,$A$2)</f>
        <v>40</v>
      </c>
      <c r="J246" s="6">
        <v>15</v>
      </c>
      <c r="K246" s="6">
        <v>15000000</v>
      </c>
      <c r="L246" s="7" t="s">
        <v>21</v>
      </c>
      <c r="M246" s="7" t="s">
        <v>62</v>
      </c>
      <c r="N246" s="7" t="s">
        <v>62</v>
      </c>
    </row>
    <row r="247" spans="1:14" s="4" customFormat="1" ht="13.2" x14ac:dyDescent="0.25">
      <c r="A247" s="7" t="s">
        <v>908</v>
      </c>
      <c r="B247" s="7" t="s">
        <v>909</v>
      </c>
      <c r="C247" s="7" t="s">
        <v>897</v>
      </c>
      <c r="D247" s="6">
        <v>1E-3</v>
      </c>
      <c r="E247" s="7" t="s">
        <v>910</v>
      </c>
      <c r="F247" s="7" t="s">
        <v>909</v>
      </c>
      <c r="G247" s="6">
        <v>1775.8389999999999</v>
      </c>
      <c r="H247" s="6">
        <f>_xll.BDP($A247,"IPO_OFFER_PX_TO_LAST_CLOSE_%_CHG",$A$1,$A$2)</f>
        <v>-99.999650000000003</v>
      </c>
      <c r="I247" s="6">
        <f>_xll.BDP($A247,"IPO_OFFER_PX_TO_1ST_OPEN_%_CHG",$A$1,$A$2)</f>
        <v>25</v>
      </c>
      <c r="J247" s="6">
        <v>16</v>
      </c>
      <c r="K247" s="6">
        <v>6666700</v>
      </c>
      <c r="L247" s="7" t="s">
        <v>21</v>
      </c>
      <c r="M247" s="7" t="s">
        <v>573</v>
      </c>
      <c r="N247" s="7" t="s">
        <v>573</v>
      </c>
    </row>
    <row r="248" spans="1:14" s="4" customFormat="1" ht="13.2" x14ac:dyDescent="0.25">
      <c r="A248" s="7" t="s">
        <v>911</v>
      </c>
      <c r="B248" s="7" t="s">
        <v>912</v>
      </c>
      <c r="C248" s="7" t="s">
        <v>897</v>
      </c>
      <c r="D248" s="6"/>
      <c r="E248" s="7" t="s">
        <v>913</v>
      </c>
      <c r="F248" s="7" t="s">
        <v>912</v>
      </c>
      <c r="G248" s="6"/>
      <c r="H248" s="6" t="str">
        <f>_xll.BDP($A248,"IPO_OFFER_PX_TO_LAST_CLOSE_%_CHG",$A$1,$A$2)</f>
        <v>#N/A N/A</v>
      </c>
      <c r="I248" s="6">
        <f>_xll.BDP($A248,"IPO_OFFER_PX_TO_1ST_OPEN_%_CHG",$A$1,$A$2)</f>
        <v>0</v>
      </c>
      <c r="J248" s="6">
        <v>18</v>
      </c>
      <c r="K248" s="6">
        <v>7000000</v>
      </c>
      <c r="L248" s="7"/>
      <c r="M248" s="7"/>
      <c r="N248" s="7"/>
    </row>
    <row r="249" spans="1:14" s="4" customFormat="1" ht="13.2" x14ac:dyDescent="0.25">
      <c r="A249" s="7" t="s">
        <v>914</v>
      </c>
      <c r="B249" s="7" t="s">
        <v>915</v>
      </c>
      <c r="C249" s="7" t="s">
        <v>916</v>
      </c>
      <c r="D249" s="6">
        <v>2.3199999999999998</v>
      </c>
      <c r="E249" s="7" t="s">
        <v>917</v>
      </c>
      <c r="F249" s="7" t="s">
        <v>915</v>
      </c>
      <c r="G249" s="6">
        <v>3531872.88</v>
      </c>
      <c r="H249" s="6">
        <f>_xll.BDP($A249,"IPO_OFFER_PX_TO_LAST_CLOSE_%_CHG",$A$1,$A$2)</f>
        <v>-99.963750000000005</v>
      </c>
      <c r="I249" s="6">
        <f>_xll.BDP($A249,"IPO_OFFER_PX_TO_1ST_OPEN_%_CHG",$A$1,$A$2)</f>
        <v>-21.625</v>
      </c>
      <c r="J249" s="6">
        <v>8</v>
      </c>
      <c r="K249" s="6">
        <v>2250000</v>
      </c>
      <c r="L249" s="7" t="s">
        <v>21</v>
      </c>
      <c r="M249" s="7" t="s">
        <v>365</v>
      </c>
      <c r="N249" s="7" t="s">
        <v>365</v>
      </c>
    </row>
    <row r="250" spans="1:14" s="4" customFormat="1" ht="13.2" x14ac:dyDescent="0.25">
      <c r="A250" s="7" t="s">
        <v>918</v>
      </c>
      <c r="B250" s="7" t="s">
        <v>919</v>
      </c>
      <c r="C250" s="7" t="s">
        <v>916</v>
      </c>
      <c r="D250" s="6"/>
      <c r="E250" s="7" t="s">
        <v>920</v>
      </c>
      <c r="F250" s="7" t="s">
        <v>919</v>
      </c>
      <c r="G250" s="6"/>
      <c r="H250" s="6" t="str">
        <f>_xll.BDP($A250,"IPO_OFFER_PX_TO_LAST_CLOSE_%_CHG",$A$1,$A$2)</f>
        <v>#N/A N/A</v>
      </c>
      <c r="I250" s="6">
        <f>_xll.BDP($A250,"IPO_OFFER_PX_TO_1ST_OPEN_%_CHG",$A$1,$A$2)</f>
        <v>57.894739999999999</v>
      </c>
      <c r="J250" s="6">
        <v>19</v>
      </c>
      <c r="K250" s="6">
        <v>14035800</v>
      </c>
      <c r="L250" s="7"/>
      <c r="M250" s="7"/>
      <c r="N250" s="7"/>
    </row>
    <row r="251" spans="1:14" s="4" customFormat="1" ht="13.2" x14ac:dyDescent="0.25">
      <c r="A251" s="7" t="s">
        <v>921</v>
      </c>
      <c r="B251" s="7" t="s">
        <v>922</v>
      </c>
      <c r="C251" s="7" t="s">
        <v>916</v>
      </c>
      <c r="D251" s="6">
        <v>12.92</v>
      </c>
      <c r="E251" s="7" t="s">
        <v>923</v>
      </c>
      <c r="F251" s="7" t="s">
        <v>922</v>
      </c>
      <c r="G251" s="6">
        <v>316596305.35999995</v>
      </c>
      <c r="H251" s="6">
        <f>_xll.BDP($A251,"IPO_OFFER_PX_TO_LAST_CLOSE_%_CHG",$A$1,$A$2)</f>
        <v>-96.2</v>
      </c>
      <c r="I251" s="6">
        <f>_xll.BDP($A251,"IPO_OFFER_PX_TO_1ST_OPEN_%_CHG",$A$1,$A$2)</f>
        <v>10.294119999999999</v>
      </c>
      <c r="J251" s="6">
        <v>17</v>
      </c>
      <c r="K251" s="6">
        <v>25000000</v>
      </c>
      <c r="L251" s="7" t="s">
        <v>21</v>
      </c>
      <c r="M251" s="7" t="s">
        <v>22</v>
      </c>
      <c r="N251" s="7" t="s">
        <v>22</v>
      </c>
    </row>
    <row r="252" spans="1:14" s="4" customFormat="1" ht="13.2" x14ac:dyDescent="0.25">
      <c r="A252" s="7" t="s">
        <v>924</v>
      </c>
      <c r="B252" s="7" t="s">
        <v>925</v>
      </c>
      <c r="C252" s="7" t="s">
        <v>916</v>
      </c>
      <c r="D252" s="6">
        <v>8.85</v>
      </c>
      <c r="E252" s="7" t="s">
        <v>926</v>
      </c>
      <c r="F252" s="7" t="s">
        <v>925</v>
      </c>
      <c r="G252" s="6">
        <v>220494625.94999996</v>
      </c>
      <c r="H252" s="6">
        <f>_xll.BDP($A252,"IPO_OFFER_PX_TO_LAST_CLOSE_%_CHG",$A$1,$A$2)</f>
        <v>-53.421050000000001</v>
      </c>
      <c r="I252" s="6">
        <f>_xll.BDP($A252,"IPO_OFFER_PX_TO_1ST_OPEN_%_CHG",$A$1,$A$2)</f>
        <v>-1.3157890000000001</v>
      </c>
      <c r="J252" s="6">
        <v>19</v>
      </c>
      <c r="K252" s="6">
        <v>7200000</v>
      </c>
      <c r="L252" s="7" t="s">
        <v>66</v>
      </c>
      <c r="M252" s="7" t="s">
        <v>67</v>
      </c>
      <c r="N252" s="7" t="s">
        <v>68</v>
      </c>
    </row>
    <row r="253" spans="1:14" s="4" customFormat="1" ht="13.2" x14ac:dyDescent="0.25">
      <c r="A253" s="7" t="s">
        <v>927</v>
      </c>
      <c r="B253" s="7" t="s">
        <v>928</v>
      </c>
      <c r="C253" s="7" t="s">
        <v>929</v>
      </c>
      <c r="D253" s="6"/>
      <c r="E253" s="7" t="s">
        <v>930</v>
      </c>
      <c r="F253" s="7" t="s">
        <v>928</v>
      </c>
      <c r="G253" s="6"/>
      <c r="H253" s="6" t="str">
        <f>_xll.BDP($A253,"IPO_OFFER_PX_TO_LAST_CLOSE_%_CHG",$A$1,$A$2)</f>
        <v>#N/A N/A</v>
      </c>
      <c r="I253" s="6">
        <f>_xll.BDP($A253,"IPO_OFFER_PX_TO_1ST_OPEN_%_CHG",$A$1,$A$2)</f>
        <v>0</v>
      </c>
      <c r="J253" s="6">
        <v>14</v>
      </c>
      <c r="K253" s="6">
        <v>13333300</v>
      </c>
      <c r="L253" s="7"/>
      <c r="M253" s="7"/>
      <c r="N253" s="7"/>
    </row>
    <row r="254" spans="1:14" s="4" customFormat="1" ht="13.2" x14ac:dyDescent="0.25">
      <c r="A254" s="7" t="s">
        <v>931</v>
      </c>
      <c r="B254" s="7" t="s">
        <v>932</v>
      </c>
      <c r="C254" s="7" t="s">
        <v>933</v>
      </c>
      <c r="D254" s="6">
        <v>1.26</v>
      </c>
      <c r="E254" s="7" t="s">
        <v>934</v>
      </c>
      <c r="F254" s="7" t="s">
        <v>932</v>
      </c>
      <c r="G254" s="6">
        <v>4793973.66</v>
      </c>
      <c r="H254" s="6">
        <f>_xll.BDP($A254,"IPO_OFFER_PX_TO_LAST_CLOSE_%_CHG",$A$1,$A$2)</f>
        <v>-99.98133</v>
      </c>
      <c r="I254" s="6">
        <f>_xll.BDP($A254,"IPO_OFFER_PX_TO_1ST_OPEN_%_CHG",$A$1,$A$2)</f>
        <v>480</v>
      </c>
      <c r="J254" s="6">
        <v>5</v>
      </c>
      <c r="K254" s="6">
        <v>2500000</v>
      </c>
      <c r="L254" s="7" t="s">
        <v>21</v>
      </c>
      <c r="M254" s="7" t="s">
        <v>22</v>
      </c>
      <c r="N254" s="7" t="s">
        <v>22</v>
      </c>
    </row>
    <row r="255" spans="1:14" s="4" customFormat="1" ht="13.2" x14ac:dyDescent="0.25">
      <c r="A255" s="7" t="s">
        <v>935</v>
      </c>
      <c r="B255" s="7" t="s">
        <v>936</v>
      </c>
      <c r="C255" s="7" t="s">
        <v>933</v>
      </c>
      <c r="D255" s="6"/>
      <c r="E255" s="7" t="s">
        <v>937</v>
      </c>
      <c r="F255" s="7" t="s">
        <v>936</v>
      </c>
      <c r="G255" s="6"/>
      <c r="H255" s="6" t="str">
        <f>_xll.BDP($A255,"IPO_OFFER_PX_TO_LAST_CLOSE_%_CHG",$A$1,$A$2)</f>
        <v>#N/A N/A</v>
      </c>
      <c r="I255" s="6">
        <f>_xll.BDP($A255,"IPO_OFFER_PX_TO_1ST_OPEN_%_CHG",$A$1,$A$2)</f>
        <v>-0.5</v>
      </c>
      <c r="J255" s="6">
        <v>10</v>
      </c>
      <c r="K255" s="6">
        <v>5500000</v>
      </c>
      <c r="L255" s="7"/>
      <c r="M255" s="7"/>
      <c r="N255" s="7"/>
    </row>
    <row r="256" spans="1:14" s="4" customFormat="1" ht="13.2" x14ac:dyDescent="0.25">
      <c r="A256" s="7" t="s">
        <v>938</v>
      </c>
      <c r="B256" s="7" t="s">
        <v>939</v>
      </c>
      <c r="C256" s="7" t="s">
        <v>940</v>
      </c>
      <c r="D256" s="6">
        <v>9.3601000000000004E-2</v>
      </c>
      <c r="E256" s="7" t="s">
        <v>941</v>
      </c>
      <c r="F256" s="7" t="s">
        <v>939</v>
      </c>
      <c r="G256" s="6">
        <v>1440504.4138400003</v>
      </c>
      <c r="H256" s="6">
        <f>_xll.BDP($A256,"IPO_OFFER_PX_TO_LAST_CLOSE_%_CHG",$A$1,$A$2)</f>
        <v>-99.980500000000006</v>
      </c>
      <c r="I256" s="6" t="str">
        <f>_xll.BDP($A256,"IPO_OFFER_PX_TO_1ST_OPEN_%_CHG",$A$1,$A$2)</f>
        <v>#N/A N/A</v>
      </c>
      <c r="J256" s="6">
        <v>4</v>
      </c>
      <c r="K256" s="6">
        <v>3750000</v>
      </c>
      <c r="L256" s="7" t="s">
        <v>47</v>
      </c>
      <c r="M256" s="7" t="s">
        <v>48</v>
      </c>
      <c r="N256" s="7" t="s">
        <v>49</v>
      </c>
    </row>
    <row r="257" spans="1:14" s="4" customFormat="1" ht="13.2" x14ac:dyDescent="0.25">
      <c r="A257" s="7" t="s">
        <v>942</v>
      </c>
      <c r="B257" s="7" t="s">
        <v>943</v>
      </c>
      <c r="C257" s="7" t="s">
        <v>940</v>
      </c>
      <c r="D257" s="6">
        <v>5.82</v>
      </c>
      <c r="E257" s="7" t="s">
        <v>944</v>
      </c>
      <c r="F257" s="7" t="s">
        <v>943</v>
      </c>
      <c r="G257" s="6">
        <v>532985153.0999999</v>
      </c>
      <c r="H257" s="6">
        <f>_xll.BDP($A257,"IPO_OFFER_PX_TO_LAST_CLOSE_%_CHG",$A$1,$A$2)</f>
        <v>-74.695650000000001</v>
      </c>
      <c r="I257" s="6">
        <f>_xll.BDP($A257,"IPO_OFFER_PX_TO_1ST_OPEN_%_CHG",$A$1,$A$2)</f>
        <v>19.782609999999998</v>
      </c>
      <c r="J257" s="6">
        <v>23</v>
      </c>
      <c r="K257" s="6">
        <v>13200000</v>
      </c>
      <c r="L257" s="7" t="s">
        <v>33</v>
      </c>
      <c r="M257" s="7" t="s">
        <v>34</v>
      </c>
      <c r="N257" s="7" t="s">
        <v>945</v>
      </c>
    </row>
    <row r="258" spans="1:14" s="4" customFormat="1" ht="13.2" x14ac:dyDescent="0.25">
      <c r="A258" s="7" t="s">
        <v>946</v>
      </c>
      <c r="B258" s="7" t="s">
        <v>947</v>
      </c>
      <c r="C258" s="7" t="s">
        <v>940</v>
      </c>
      <c r="D258" s="6"/>
      <c r="E258" s="7" t="s">
        <v>948</v>
      </c>
      <c r="F258" s="7" t="s">
        <v>947</v>
      </c>
      <c r="G258" s="6"/>
      <c r="H258" s="6" t="str">
        <f>_xll.BDP($A258,"IPO_OFFER_PX_TO_LAST_CLOSE_%_CHG",$A$1,$A$2)</f>
        <v>#N/A N/A</v>
      </c>
      <c r="I258" s="6">
        <f>_xll.BDP($A258,"IPO_OFFER_PX_TO_1ST_OPEN_%_CHG",$A$1,$A$2)</f>
        <v>1.2</v>
      </c>
      <c r="J258" s="6">
        <v>10</v>
      </c>
      <c r="K258" s="6">
        <v>27500000</v>
      </c>
      <c r="L258" s="7"/>
      <c r="M258" s="7"/>
      <c r="N258" s="7"/>
    </row>
    <row r="259" spans="1:14" s="4" customFormat="1" ht="13.2" x14ac:dyDescent="0.25">
      <c r="A259" s="7" t="s">
        <v>949</v>
      </c>
      <c r="B259" s="7" t="s">
        <v>950</v>
      </c>
      <c r="C259" s="7" t="s">
        <v>940</v>
      </c>
      <c r="D259" s="6">
        <v>16.05</v>
      </c>
      <c r="E259" s="7" t="s">
        <v>951</v>
      </c>
      <c r="F259" s="7" t="s">
        <v>950</v>
      </c>
      <c r="G259" s="6">
        <v>978798881.70000005</v>
      </c>
      <c r="H259" s="6">
        <f>_xll.BDP($A259,"IPO_OFFER_PX_TO_LAST_CLOSE_%_CHG",$A$1,$A$2)</f>
        <v>-5.5882399999999999</v>
      </c>
      <c r="I259" s="6">
        <f>_xll.BDP($A259,"IPO_OFFER_PX_TO_1ST_OPEN_%_CHG",$A$1,$A$2)</f>
        <v>100</v>
      </c>
      <c r="J259" s="6">
        <v>17</v>
      </c>
      <c r="K259" s="6">
        <v>11400000</v>
      </c>
      <c r="L259" s="7" t="s">
        <v>21</v>
      </c>
      <c r="M259" s="7" t="s">
        <v>22</v>
      </c>
      <c r="N259" s="7" t="s">
        <v>22</v>
      </c>
    </row>
    <row r="260" spans="1:14" s="4" customFormat="1" ht="13.2" x14ac:dyDescent="0.25">
      <c r="A260" s="7" t="s">
        <v>952</v>
      </c>
      <c r="B260" s="7" t="s">
        <v>953</v>
      </c>
      <c r="C260" s="7" t="s">
        <v>954</v>
      </c>
      <c r="D260" s="6">
        <v>4.6100000000000003</v>
      </c>
      <c r="E260" s="7" t="s">
        <v>955</v>
      </c>
      <c r="F260" s="7" t="s">
        <v>953</v>
      </c>
      <c r="G260" s="6">
        <v>162887485.71000001</v>
      </c>
      <c r="H260" s="6">
        <f>_xll.BDP($A260,"IPO_OFFER_PX_TO_LAST_CLOSE_%_CHG",$A$1,$A$2)</f>
        <v>-76.95</v>
      </c>
      <c r="I260" s="6">
        <f>_xll.BDP($A260,"IPO_OFFER_PX_TO_1ST_OPEN_%_CHG",$A$1,$A$2)</f>
        <v>7.5</v>
      </c>
      <c r="J260" s="6">
        <v>20</v>
      </c>
      <c r="K260" s="6">
        <v>5750000</v>
      </c>
      <c r="L260" s="7" t="s">
        <v>102</v>
      </c>
      <c r="M260" s="7" t="s">
        <v>956</v>
      </c>
      <c r="N260" s="7" t="s">
        <v>956</v>
      </c>
    </row>
    <row r="261" spans="1:14" s="4" customFormat="1" ht="13.2" x14ac:dyDescent="0.25">
      <c r="A261" s="7" t="s">
        <v>957</v>
      </c>
      <c r="B261" s="7" t="s">
        <v>958</v>
      </c>
      <c r="C261" s="7" t="s">
        <v>954</v>
      </c>
      <c r="D261" s="6">
        <v>21.34</v>
      </c>
      <c r="E261" s="7" t="s">
        <v>959</v>
      </c>
      <c r="F261" s="7" t="s">
        <v>958</v>
      </c>
      <c r="G261" s="6">
        <v>5319157632.1399994</v>
      </c>
      <c r="H261" s="6">
        <f>_xll.BDP($A261,"IPO_OFFER_PX_TO_LAST_CLOSE_%_CHG",$A$1,$A$2)</f>
        <v>113.4</v>
      </c>
      <c r="I261" s="6">
        <f>_xll.BDP($A261,"IPO_OFFER_PX_TO_1ST_OPEN_%_CHG",$A$1,$A$2)</f>
        <v>-9.9</v>
      </c>
      <c r="J261" s="6">
        <v>10</v>
      </c>
      <c r="K261" s="6">
        <v>21500000</v>
      </c>
      <c r="L261" s="7" t="s">
        <v>40</v>
      </c>
      <c r="M261" s="7" t="s">
        <v>41</v>
      </c>
      <c r="N261" s="7" t="s">
        <v>42</v>
      </c>
    </row>
    <row r="262" spans="1:14" s="4" customFormat="1" ht="13.2" x14ac:dyDescent="0.25">
      <c r="A262" s="7" t="s">
        <v>960</v>
      </c>
      <c r="B262" s="7" t="s">
        <v>961</v>
      </c>
      <c r="C262" s="7" t="s">
        <v>954</v>
      </c>
      <c r="D262" s="6">
        <v>11.34</v>
      </c>
      <c r="E262" s="7" t="s">
        <v>962</v>
      </c>
      <c r="F262" s="7" t="s">
        <v>961</v>
      </c>
      <c r="G262" s="6">
        <v>4398042458.8800001</v>
      </c>
      <c r="H262" s="6">
        <f>_xll.BDP($A262,"IPO_OFFER_PX_TO_LAST_CLOSE_%_CHG",$A$1,$A$2)</f>
        <v>-37</v>
      </c>
      <c r="I262" s="6">
        <f>_xll.BDP($A262,"IPO_OFFER_PX_TO_1ST_OPEN_%_CHG",$A$1,$A$2)</f>
        <v>11.11111</v>
      </c>
      <c r="J262" s="6">
        <v>18</v>
      </c>
      <c r="K262" s="6">
        <v>40000000</v>
      </c>
      <c r="L262" s="7" t="s">
        <v>21</v>
      </c>
      <c r="M262" s="7" t="s">
        <v>248</v>
      </c>
      <c r="N262" s="7" t="s">
        <v>249</v>
      </c>
    </row>
    <row r="263" spans="1:14" s="4" customFormat="1" ht="13.2" x14ac:dyDescent="0.25">
      <c r="A263" s="7" t="s">
        <v>963</v>
      </c>
      <c r="B263" s="7" t="s">
        <v>964</v>
      </c>
      <c r="C263" s="7" t="s">
        <v>965</v>
      </c>
      <c r="D263" s="6"/>
      <c r="E263" s="7" t="s">
        <v>966</v>
      </c>
      <c r="F263" s="7" t="s">
        <v>964</v>
      </c>
      <c r="G263" s="6"/>
      <c r="H263" s="6" t="str">
        <f>_xll.BDP($A263,"IPO_OFFER_PX_TO_LAST_CLOSE_%_CHG",$A$1,$A$2)</f>
        <v>#N/A N/A</v>
      </c>
      <c r="I263" s="6">
        <f>_xll.BDP($A263,"IPO_OFFER_PX_TO_1ST_OPEN_%_CHG",$A$1,$A$2)</f>
        <v>-1</v>
      </c>
      <c r="J263" s="6">
        <v>10</v>
      </c>
      <c r="K263" s="6">
        <v>17000000</v>
      </c>
      <c r="L263" s="7"/>
      <c r="M263" s="7"/>
      <c r="N263" s="7"/>
    </row>
    <row r="264" spans="1:14" s="4" customFormat="1" ht="13.2" x14ac:dyDescent="0.25">
      <c r="A264" s="7" t="s">
        <v>967</v>
      </c>
      <c r="B264" s="7" t="s">
        <v>968</v>
      </c>
      <c r="C264" s="7" t="s">
        <v>965</v>
      </c>
      <c r="D264" s="6"/>
      <c r="E264" s="7" t="s">
        <v>969</v>
      </c>
      <c r="F264" s="7" t="s">
        <v>968</v>
      </c>
      <c r="G264" s="6"/>
      <c r="H264" s="6" t="str">
        <f>_xll.BDP($A264,"IPO_OFFER_PX_TO_LAST_CLOSE_%_CHG",$A$1,$A$2)</f>
        <v>#N/A N/A</v>
      </c>
      <c r="I264" s="6">
        <f>_xll.BDP($A264,"IPO_OFFER_PX_TO_1ST_OPEN_%_CHG",$A$1,$A$2)</f>
        <v>-1</v>
      </c>
      <c r="J264" s="6">
        <v>10</v>
      </c>
      <c r="K264" s="6">
        <v>15000000</v>
      </c>
      <c r="L264" s="7"/>
      <c r="M264" s="7"/>
      <c r="N264" s="7"/>
    </row>
    <row r="265" spans="1:14" s="4" customFormat="1" ht="13.2" x14ac:dyDescent="0.25">
      <c r="A265" s="7" t="s">
        <v>970</v>
      </c>
      <c r="B265" s="7" t="s">
        <v>971</v>
      </c>
      <c r="C265" s="7" t="s">
        <v>965</v>
      </c>
      <c r="D265" s="6">
        <v>17.559999999999999</v>
      </c>
      <c r="E265" s="7" t="s">
        <v>972</v>
      </c>
      <c r="F265" s="7" t="s">
        <v>971</v>
      </c>
      <c r="G265" s="6">
        <v>1861493082.8499999</v>
      </c>
      <c r="H265" s="6">
        <f>_xll.BDP($A265,"IPO_OFFER_PX_TO_LAST_CLOSE_%_CHG",$A$1,$A$2)</f>
        <v>-83.740740000000002</v>
      </c>
      <c r="I265" s="6">
        <f>_xll.BDP($A265,"IPO_OFFER_PX_TO_1ST_OPEN_%_CHG",$A$1,$A$2)</f>
        <v>20.370370000000001</v>
      </c>
      <c r="J265" s="6">
        <v>27</v>
      </c>
      <c r="K265" s="6">
        <v>45454500</v>
      </c>
      <c r="L265" s="7" t="s">
        <v>66</v>
      </c>
      <c r="M265" s="7" t="s">
        <v>440</v>
      </c>
      <c r="N265" s="7" t="s">
        <v>441</v>
      </c>
    </row>
    <row r="266" spans="1:14" s="4" customFormat="1" ht="13.2" x14ac:dyDescent="0.25">
      <c r="A266" s="7" t="s">
        <v>973</v>
      </c>
      <c r="B266" s="7" t="s">
        <v>974</v>
      </c>
      <c r="C266" s="7" t="s">
        <v>975</v>
      </c>
      <c r="D266" s="6"/>
      <c r="E266" s="7" t="s">
        <v>976</v>
      </c>
      <c r="F266" s="7" t="s">
        <v>974</v>
      </c>
      <c r="G266" s="6"/>
      <c r="H266" s="6" t="str">
        <f>_xll.BDP($A266,"IPO_OFFER_PX_TO_LAST_CLOSE_%_CHG",$A$1,$A$2)</f>
        <v>#N/A N/A</v>
      </c>
      <c r="I266" s="6">
        <f>_xll.BDP($A266,"IPO_OFFER_PX_TO_1ST_OPEN_%_CHG",$A$1,$A$2)</f>
        <v>0</v>
      </c>
      <c r="J266" s="6">
        <v>3.71</v>
      </c>
      <c r="K266" s="6">
        <v>57172000</v>
      </c>
      <c r="L266" s="7"/>
      <c r="M266" s="7"/>
      <c r="N266" s="7"/>
    </row>
    <row r="267" spans="1:14" s="4" customFormat="1" ht="13.2" x14ac:dyDescent="0.25">
      <c r="A267" s="7" t="s">
        <v>977</v>
      </c>
      <c r="B267" s="7" t="s">
        <v>978</v>
      </c>
      <c r="C267" s="7" t="s">
        <v>979</v>
      </c>
      <c r="D267" s="6"/>
      <c r="E267" s="7" t="s">
        <v>980</v>
      </c>
      <c r="F267" s="7" t="s">
        <v>978</v>
      </c>
      <c r="G267" s="6"/>
      <c r="H267" s="6" t="str">
        <f>_xll.BDP($A267,"IPO_OFFER_PX_TO_LAST_CLOSE_%_CHG",$A$1,$A$2)</f>
        <v>#N/A N/A</v>
      </c>
      <c r="I267" s="6">
        <f>_xll.BDP($A267,"IPO_OFFER_PX_TO_1ST_OPEN_%_CHG",$A$1,$A$2)</f>
        <v>8.8888890000000007</v>
      </c>
      <c r="J267" s="6">
        <v>45</v>
      </c>
      <c r="K267" s="6">
        <v>24050000</v>
      </c>
      <c r="L267" s="7"/>
      <c r="M267" s="7"/>
      <c r="N267" s="7"/>
    </row>
    <row r="268" spans="1:14" s="4" customFormat="1" ht="13.2" x14ac:dyDescent="0.25">
      <c r="A268" s="7" t="s">
        <v>981</v>
      </c>
      <c r="B268" s="7" t="s">
        <v>982</v>
      </c>
      <c r="C268" s="7" t="s">
        <v>979</v>
      </c>
      <c r="D268" s="6"/>
      <c r="E268" s="7" t="s">
        <v>983</v>
      </c>
      <c r="F268" s="7" t="s">
        <v>982</v>
      </c>
      <c r="G268" s="6"/>
      <c r="H268" s="6" t="str">
        <f>_xll.BDP($A268,"IPO_OFFER_PX_TO_LAST_CLOSE_%_CHG",$A$1,$A$2)</f>
        <v>#N/A N/A</v>
      </c>
      <c r="I268" s="6">
        <f>_xll.BDP($A268,"IPO_OFFER_PX_TO_1ST_OPEN_%_CHG",$A$1,$A$2)</f>
        <v>1.25</v>
      </c>
      <c r="J268" s="6">
        <v>20</v>
      </c>
      <c r="K268" s="6">
        <v>16500000</v>
      </c>
      <c r="L268" s="7"/>
      <c r="M268" s="7"/>
      <c r="N268" s="7"/>
    </row>
    <row r="269" spans="1:14" s="4" customFormat="1" ht="13.2" x14ac:dyDescent="0.25">
      <c r="A269" s="7" t="s">
        <v>984</v>
      </c>
      <c r="B269" s="7" t="s">
        <v>985</v>
      </c>
      <c r="C269" s="7" t="s">
        <v>979</v>
      </c>
      <c r="D269" s="6">
        <v>4.08</v>
      </c>
      <c r="E269" s="7" t="s">
        <v>986</v>
      </c>
      <c r="F269" s="7" t="s">
        <v>985</v>
      </c>
      <c r="G269" s="6">
        <v>15865467.6</v>
      </c>
      <c r="H269" s="6">
        <f>_xll.BDP($A269,"IPO_OFFER_PX_TO_LAST_CLOSE_%_CHG",$A$1,$A$2)</f>
        <v>-99.83</v>
      </c>
      <c r="I269" s="6" t="str">
        <f>_xll.BDP($A269,"IPO_OFFER_PX_TO_1ST_OPEN_%_CHG",$A$1,$A$2)</f>
        <v>#N/A N/A</v>
      </c>
      <c r="J269" s="6">
        <v>5</v>
      </c>
      <c r="K269" s="6">
        <v>2760000</v>
      </c>
      <c r="L269" s="7" t="s">
        <v>47</v>
      </c>
      <c r="M269" s="7" t="s">
        <v>871</v>
      </c>
      <c r="N269" s="7" t="s">
        <v>871</v>
      </c>
    </row>
    <row r="270" spans="1:14" s="4" customFormat="1" ht="13.2" x14ac:dyDescent="0.25">
      <c r="A270" s="7" t="s">
        <v>987</v>
      </c>
      <c r="B270" s="7" t="s">
        <v>988</v>
      </c>
      <c r="C270" s="7" t="s">
        <v>989</v>
      </c>
      <c r="D270" s="6">
        <v>10.26</v>
      </c>
      <c r="E270" s="7" t="s">
        <v>990</v>
      </c>
      <c r="F270" s="7" t="s">
        <v>988</v>
      </c>
      <c r="G270" s="6">
        <v>1713904815.7799997</v>
      </c>
      <c r="H270" s="6">
        <f>_xll.BDP($A270,"IPO_OFFER_PX_TO_LAST_CLOSE_%_CHG",$A$1,$A$2)</f>
        <v>-53.363639999999997</v>
      </c>
      <c r="I270" s="6">
        <f>_xll.BDP($A270,"IPO_OFFER_PX_TO_1ST_OPEN_%_CHG",$A$1,$A$2)</f>
        <v>28.63636</v>
      </c>
      <c r="J270" s="6">
        <v>22</v>
      </c>
      <c r="K270" s="6">
        <v>26386400</v>
      </c>
      <c r="L270" s="7" t="s">
        <v>102</v>
      </c>
      <c r="M270" s="7" t="s">
        <v>217</v>
      </c>
      <c r="N270" s="7" t="s">
        <v>991</v>
      </c>
    </row>
    <row r="271" spans="1:14" s="4" customFormat="1" ht="13.2" x14ac:dyDescent="0.25">
      <c r="A271" s="7" t="s">
        <v>992</v>
      </c>
      <c r="B271" s="7" t="s">
        <v>993</v>
      </c>
      <c r="C271" s="7" t="s">
        <v>989</v>
      </c>
      <c r="D271" s="6"/>
      <c r="E271" s="7" t="s">
        <v>994</v>
      </c>
      <c r="F271" s="7" t="s">
        <v>993</v>
      </c>
      <c r="G271" s="6"/>
      <c r="H271" s="6" t="str">
        <f>_xll.BDP($A271,"IPO_OFFER_PX_TO_LAST_CLOSE_%_CHG",$A$1,$A$2)</f>
        <v>#N/A N/A</v>
      </c>
      <c r="I271" s="6">
        <f>_xll.BDP($A271,"IPO_OFFER_PX_TO_1ST_OPEN_%_CHG",$A$1,$A$2)</f>
        <v>56.25</v>
      </c>
      <c r="J271" s="6">
        <v>16</v>
      </c>
      <c r="K271" s="6">
        <v>10000000</v>
      </c>
      <c r="L271" s="7"/>
      <c r="M271" s="7"/>
      <c r="N271" s="7"/>
    </row>
    <row r="272" spans="1:14" s="4" customFormat="1" ht="13.2" x14ac:dyDescent="0.25">
      <c r="A272" s="7" t="s">
        <v>995</v>
      </c>
      <c r="B272" s="7" t="s">
        <v>996</v>
      </c>
      <c r="C272" s="7" t="s">
        <v>989</v>
      </c>
      <c r="D272" s="6">
        <v>15.03</v>
      </c>
      <c r="E272" s="7" t="s">
        <v>997</v>
      </c>
      <c r="F272" s="7" t="s">
        <v>996</v>
      </c>
      <c r="G272" s="6"/>
      <c r="H272" s="6">
        <f>_xll.BDP($A272,"IPO_OFFER_PX_TO_LAST_CLOSE_%_CHG",$A$1,$A$2)</f>
        <v>-24.85</v>
      </c>
      <c r="I272" s="6">
        <f>_xll.BDP($A272,"IPO_OFFER_PX_TO_1ST_OPEN_%_CHG",$A$1,$A$2)</f>
        <v>0</v>
      </c>
      <c r="J272" s="6">
        <v>20</v>
      </c>
      <c r="K272" s="6">
        <v>75000000</v>
      </c>
      <c r="L272" s="7"/>
      <c r="M272" s="7"/>
      <c r="N272" s="7"/>
    </row>
    <row r="273" spans="1:14" s="4" customFormat="1" ht="13.2" x14ac:dyDescent="0.25">
      <c r="A273" s="7" t="s">
        <v>998</v>
      </c>
      <c r="B273" s="7" t="s">
        <v>999</v>
      </c>
      <c r="C273" s="7" t="s">
        <v>989</v>
      </c>
      <c r="D273" s="6"/>
      <c r="E273" s="7" t="s">
        <v>1000</v>
      </c>
      <c r="F273" s="7" t="s">
        <v>999</v>
      </c>
      <c r="G273" s="6"/>
      <c r="H273" s="6" t="str">
        <f>_xll.BDP($A273,"IPO_OFFER_PX_TO_LAST_CLOSE_%_CHG",$A$1,$A$2)</f>
        <v>#N/A N/A</v>
      </c>
      <c r="I273" s="6">
        <f>_xll.BDP($A273,"IPO_OFFER_PX_TO_1ST_OPEN_%_CHG",$A$1,$A$2)</f>
        <v>31.818180000000002</v>
      </c>
      <c r="J273" s="6">
        <v>22</v>
      </c>
      <c r="K273" s="6">
        <v>10200000</v>
      </c>
      <c r="L273" s="7"/>
      <c r="M273" s="7"/>
      <c r="N273" s="7"/>
    </row>
    <row r="274" spans="1:14" s="4" customFormat="1" ht="13.2" x14ac:dyDescent="0.25">
      <c r="A274" s="7" t="s">
        <v>1001</v>
      </c>
      <c r="B274" s="7" t="s">
        <v>1002</v>
      </c>
      <c r="C274" s="7" t="s">
        <v>1003</v>
      </c>
      <c r="D274" s="6">
        <v>18.03</v>
      </c>
      <c r="E274" s="7" t="s">
        <v>1004</v>
      </c>
      <c r="F274" s="7" t="s">
        <v>1002</v>
      </c>
      <c r="G274" s="6">
        <v>2225224376.4000006</v>
      </c>
      <c r="H274" s="6">
        <f>_xll.BDP($A274,"IPO_OFFER_PX_TO_LAST_CLOSE_%_CHG",$A$1,$A$2)</f>
        <v>-24.875</v>
      </c>
      <c r="I274" s="6">
        <f>_xll.BDP($A274,"IPO_OFFER_PX_TO_1ST_OPEN_%_CHG",$A$1,$A$2)</f>
        <v>41.666670000000003</v>
      </c>
      <c r="J274" s="6">
        <v>24</v>
      </c>
      <c r="K274" s="6">
        <v>10440000</v>
      </c>
      <c r="L274" s="7" t="s">
        <v>66</v>
      </c>
      <c r="M274" s="7" t="s">
        <v>440</v>
      </c>
      <c r="N274" s="7" t="s">
        <v>441</v>
      </c>
    </row>
    <row r="275" spans="1:14" s="4" customFormat="1" ht="13.2" x14ac:dyDescent="0.25">
      <c r="A275" s="7" t="s">
        <v>1005</v>
      </c>
      <c r="B275" s="7" t="s">
        <v>1006</v>
      </c>
      <c r="C275" s="7" t="s">
        <v>1003</v>
      </c>
      <c r="D275" s="6">
        <v>29.67</v>
      </c>
      <c r="E275" s="7" t="s">
        <v>1007</v>
      </c>
      <c r="F275" s="7" t="s">
        <v>1006</v>
      </c>
      <c r="G275" s="6">
        <v>3740145696.21</v>
      </c>
      <c r="H275" s="6">
        <f>_xll.BDP($A275,"IPO_OFFER_PX_TO_LAST_CLOSE_%_CHG",$A$1,$A$2)</f>
        <v>41.285710000000002</v>
      </c>
      <c r="I275" s="6">
        <f>_xll.BDP($A275,"IPO_OFFER_PX_TO_1ST_OPEN_%_CHG",$A$1,$A$2)</f>
        <v>36.952379999999998</v>
      </c>
      <c r="J275" s="6">
        <v>21</v>
      </c>
      <c r="K275" s="6">
        <v>10000000</v>
      </c>
      <c r="L275" s="7" t="s">
        <v>66</v>
      </c>
      <c r="M275" s="7" t="s">
        <v>440</v>
      </c>
      <c r="N275" s="7" t="s">
        <v>441</v>
      </c>
    </row>
    <row r="276" spans="1:14" s="4" customFormat="1" ht="13.2" x14ac:dyDescent="0.25">
      <c r="A276" s="7" t="s">
        <v>1008</v>
      </c>
      <c r="B276" s="7" t="s">
        <v>1009</v>
      </c>
      <c r="C276" s="7" t="s">
        <v>1003</v>
      </c>
      <c r="D276" s="6"/>
      <c r="E276" s="7" t="s">
        <v>1010</v>
      </c>
      <c r="F276" s="7" t="s">
        <v>1009</v>
      </c>
      <c r="G276" s="6"/>
      <c r="H276" s="6" t="str">
        <f>_xll.BDP($A276,"IPO_OFFER_PX_TO_LAST_CLOSE_%_CHG",$A$1,$A$2)</f>
        <v>#N/A N/A</v>
      </c>
      <c r="I276" s="6">
        <f>_xll.BDP($A276,"IPO_OFFER_PX_TO_1ST_OPEN_%_CHG",$A$1,$A$2)</f>
        <v>0</v>
      </c>
      <c r="J276" s="6">
        <v>10</v>
      </c>
      <c r="K276" s="6">
        <v>20000000</v>
      </c>
      <c r="L276" s="7"/>
      <c r="M276" s="7"/>
      <c r="N276" s="7"/>
    </row>
    <row r="277" spans="1:14" s="4" customFormat="1" ht="13.2" x14ac:dyDescent="0.25">
      <c r="A277" s="7" t="s">
        <v>1011</v>
      </c>
      <c r="B277" s="7" t="s">
        <v>1012</v>
      </c>
      <c r="C277" s="7" t="s">
        <v>1013</v>
      </c>
      <c r="D277" s="6">
        <v>1.88</v>
      </c>
      <c r="E277" s="7" t="s">
        <v>1014</v>
      </c>
      <c r="F277" s="7" t="s">
        <v>1012</v>
      </c>
      <c r="G277" s="6">
        <v>77456000</v>
      </c>
      <c r="H277" s="6">
        <f>_xll.BDP($A277,"IPO_OFFER_PX_TO_LAST_CLOSE_%_CHG",$A$1,$A$2)</f>
        <v>-81.2</v>
      </c>
      <c r="I277" s="6">
        <f>_xll.BDP($A277,"IPO_OFFER_PX_TO_1ST_OPEN_%_CHG",$A$1,$A$2)</f>
        <v>0</v>
      </c>
      <c r="J277" s="6">
        <v>10</v>
      </c>
      <c r="K277" s="6">
        <v>25000000</v>
      </c>
      <c r="L277" s="7" t="s">
        <v>33</v>
      </c>
      <c r="M277" s="7" t="s">
        <v>1015</v>
      </c>
      <c r="N277" s="7" t="s">
        <v>1016</v>
      </c>
    </row>
    <row r="278" spans="1:14" s="4" customFormat="1" ht="13.2" x14ac:dyDescent="0.25">
      <c r="A278" s="7" t="s">
        <v>1017</v>
      </c>
      <c r="B278" s="7" t="s">
        <v>1018</v>
      </c>
      <c r="C278" s="7" t="s">
        <v>1019</v>
      </c>
      <c r="D278" s="6">
        <v>46.27</v>
      </c>
      <c r="E278" s="7" t="s">
        <v>1020</v>
      </c>
      <c r="F278" s="7" t="s">
        <v>1018</v>
      </c>
      <c r="G278" s="6">
        <v>6981690294.3199997</v>
      </c>
      <c r="H278" s="6">
        <f>_xll.BDP($A278,"IPO_OFFER_PX_TO_LAST_CLOSE_%_CHG",$A$1,$A$2)</f>
        <v>-30.940300000000001</v>
      </c>
      <c r="I278" s="6">
        <f>_xll.BDP($A278,"IPO_OFFER_PX_TO_1ST_OPEN_%_CHG",$A$1,$A$2)</f>
        <v>25.37313</v>
      </c>
      <c r="J278" s="6">
        <v>67</v>
      </c>
      <c r="K278" s="6">
        <v>9470000</v>
      </c>
      <c r="L278" s="7" t="s">
        <v>40</v>
      </c>
      <c r="M278" s="7" t="s">
        <v>41</v>
      </c>
      <c r="N278" s="7" t="s">
        <v>42</v>
      </c>
    </row>
    <row r="279" spans="1:14" s="4" customFormat="1" ht="13.2" x14ac:dyDescent="0.25">
      <c r="A279" s="7" t="s">
        <v>1021</v>
      </c>
      <c r="B279" s="7" t="s">
        <v>1022</v>
      </c>
      <c r="C279" s="7" t="s">
        <v>1023</v>
      </c>
      <c r="D279" s="6"/>
      <c r="E279" s="7" t="s">
        <v>1024</v>
      </c>
      <c r="F279" s="7" t="s">
        <v>1022</v>
      </c>
      <c r="G279" s="6"/>
      <c r="H279" s="6" t="str">
        <f>_xll.BDP($A279,"IPO_OFFER_PX_TO_LAST_CLOSE_%_CHG",$A$1,$A$2)</f>
        <v>#N/A N/A</v>
      </c>
      <c r="I279" s="6">
        <f>_xll.BDP($A279,"IPO_OFFER_PX_TO_1ST_OPEN_%_CHG",$A$1,$A$2)</f>
        <v>-13.25301</v>
      </c>
      <c r="J279" s="6">
        <v>41.5</v>
      </c>
      <c r="K279" s="6">
        <v>30400000</v>
      </c>
      <c r="L279" s="7"/>
      <c r="M279" s="7"/>
      <c r="N279" s="7"/>
    </row>
    <row r="280" spans="1:14" s="4" customFormat="1" ht="13.2" x14ac:dyDescent="0.25">
      <c r="A280" s="7" t="s">
        <v>1025</v>
      </c>
      <c r="B280" s="7" t="s">
        <v>1026</v>
      </c>
      <c r="C280" s="7" t="s">
        <v>1027</v>
      </c>
      <c r="D280" s="6">
        <v>36.99</v>
      </c>
      <c r="E280" s="7" t="s">
        <v>1028</v>
      </c>
      <c r="F280" s="7" t="s">
        <v>1026</v>
      </c>
      <c r="G280" s="6">
        <v>2655249618.96</v>
      </c>
      <c r="H280" s="6">
        <f>_xll.BDP($A280,"IPO_OFFER_PX_TO_LAST_CLOSE_%_CHG",$A$1,$A$2)</f>
        <v>236.27269999999999</v>
      </c>
      <c r="I280" s="6">
        <f>_xll.BDP($A280,"IPO_OFFER_PX_TO_1ST_OPEN_%_CHG",$A$1,$A$2)</f>
        <v>3.7272729999999998</v>
      </c>
      <c r="J280" s="6">
        <v>11</v>
      </c>
      <c r="K280" s="6">
        <v>4350000</v>
      </c>
      <c r="L280" s="7" t="s">
        <v>21</v>
      </c>
      <c r="M280" s="7" t="s">
        <v>22</v>
      </c>
      <c r="N280" s="7" t="s">
        <v>22</v>
      </c>
    </row>
    <row r="281" spans="1:14" s="4" customFormat="1" ht="13.2" x14ac:dyDescent="0.25">
      <c r="A281" s="7" t="s">
        <v>1029</v>
      </c>
      <c r="B281" s="7" t="s">
        <v>1030</v>
      </c>
      <c r="C281" s="7" t="s">
        <v>1027</v>
      </c>
      <c r="D281" s="6">
        <v>0.44900000000000001</v>
      </c>
      <c r="E281" s="7" t="s">
        <v>1031</v>
      </c>
      <c r="F281" s="7" t="s">
        <v>1030</v>
      </c>
      <c r="G281" s="6">
        <v>10320515.541999999</v>
      </c>
      <c r="H281" s="6">
        <f>_xll.BDP($A281,"IPO_OFFER_PX_TO_LAST_CLOSE_%_CHG",$A$1,$A$2)</f>
        <v>-99.999920000000003</v>
      </c>
      <c r="I281" s="6">
        <f>_xll.BDP($A281,"IPO_OFFER_PX_TO_1ST_OPEN_%_CHG",$A$1,$A$2)</f>
        <v>-0.24096390000000001</v>
      </c>
      <c r="J281" s="6">
        <v>4.1500000000000004</v>
      </c>
      <c r="K281" s="6">
        <v>2409600</v>
      </c>
      <c r="L281" s="7" t="s">
        <v>102</v>
      </c>
      <c r="M281" s="7" t="s">
        <v>153</v>
      </c>
      <c r="N281" s="7" t="s">
        <v>154</v>
      </c>
    </row>
    <row r="282" spans="1:14" s="4" customFormat="1" ht="13.2" x14ac:dyDescent="0.25">
      <c r="A282" s="7" t="s">
        <v>1032</v>
      </c>
      <c r="B282" s="7" t="s">
        <v>1033</v>
      </c>
      <c r="C282" s="7" t="s">
        <v>1027</v>
      </c>
      <c r="D282" s="6"/>
      <c r="E282" s="7" t="s">
        <v>1034</v>
      </c>
      <c r="F282" s="7" t="s">
        <v>1033</v>
      </c>
      <c r="G282" s="6"/>
      <c r="H282" s="6" t="str">
        <f>_xll.BDP($A282,"IPO_OFFER_PX_TO_LAST_CLOSE_%_CHG",$A$1,$A$2)</f>
        <v>#N/A N/A</v>
      </c>
      <c r="I282" s="6">
        <f>_xll.BDP($A282,"IPO_OFFER_PX_TO_1ST_OPEN_%_CHG",$A$1,$A$2)</f>
        <v>-1.4</v>
      </c>
      <c r="J282" s="6">
        <v>10</v>
      </c>
      <c r="K282" s="6">
        <v>23000000</v>
      </c>
      <c r="L282" s="7"/>
      <c r="M282" s="7"/>
      <c r="N282" s="7"/>
    </row>
    <row r="283" spans="1:14" s="4" customFormat="1" ht="13.2" x14ac:dyDescent="0.25">
      <c r="A283" s="7" t="s">
        <v>1035</v>
      </c>
      <c r="B283" s="7" t="s">
        <v>1036</v>
      </c>
      <c r="C283" s="7" t="s">
        <v>1037</v>
      </c>
      <c r="D283" s="6">
        <v>0.89900000000000002</v>
      </c>
      <c r="E283" s="7" t="s">
        <v>1038</v>
      </c>
      <c r="F283" s="7" t="s">
        <v>1036</v>
      </c>
      <c r="G283" s="6">
        <v>1700141.1529999999</v>
      </c>
      <c r="H283" s="6">
        <f>_xll.BDP($A283,"IPO_OFFER_PX_TO_LAST_CLOSE_%_CHG",$A$1,$A$2)</f>
        <v>-99.925089999999997</v>
      </c>
      <c r="I283" s="6">
        <f>_xll.BDP($A283,"IPO_OFFER_PX_TO_1ST_OPEN_%_CHG",$A$1,$A$2)</f>
        <v>13.2</v>
      </c>
      <c r="J283" s="6">
        <v>5</v>
      </c>
      <c r="K283" s="6">
        <v>3360000</v>
      </c>
      <c r="L283" s="7" t="s">
        <v>33</v>
      </c>
      <c r="M283" s="7" t="s">
        <v>653</v>
      </c>
      <c r="N283" s="7" t="s">
        <v>653</v>
      </c>
    </row>
    <row r="284" spans="1:14" s="4" customFormat="1" ht="13.2" x14ac:dyDescent="0.25">
      <c r="A284" s="7" t="s">
        <v>1039</v>
      </c>
      <c r="B284" s="7" t="s">
        <v>1040</v>
      </c>
      <c r="C284" s="7" t="s">
        <v>1041</v>
      </c>
      <c r="D284" s="6">
        <v>1.65</v>
      </c>
      <c r="E284" s="7" t="s">
        <v>1042</v>
      </c>
      <c r="F284" s="7" t="s">
        <v>1040</v>
      </c>
      <c r="G284" s="6">
        <v>4010833.1999999997</v>
      </c>
      <c r="H284" s="6">
        <f>_xll.BDP($A284,"IPO_OFFER_PX_TO_LAST_CLOSE_%_CHG",$A$1,$A$2)</f>
        <v>-99.957700000000003</v>
      </c>
      <c r="I284" s="6">
        <f>_xll.BDP($A284,"IPO_OFFER_PX_TO_1ST_OPEN_%_CHG",$A$1,$A$2)</f>
        <v>10</v>
      </c>
      <c r="J284" s="6">
        <v>5</v>
      </c>
      <c r="K284" s="6">
        <v>3333300</v>
      </c>
      <c r="L284" s="7" t="s">
        <v>21</v>
      </c>
      <c r="M284" s="7" t="s">
        <v>248</v>
      </c>
      <c r="N284" s="7" t="s">
        <v>1043</v>
      </c>
    </row>
    <row r="285" spans="1:14" s="4" customFormat="1" ht="13.2" x14ac:dyDescent="0.25">
      <c r="A285" s="7" t="s">
        <v>1044</v>
      </c>
      <c r="B285" s="7" t="s">
        <v>1045</v>
      </c>
      <c r="C285" s="7" t="s">
        <v>1046</v>
      </c>
      <c r="D285" s="6">
        <v>25.96</v>
      </c>
      <c r="E285" s="7" t="s">
        <v>1047</v>
      </c>
      <c r="F285" s="7" t="s">
        <v>1045</v>
      </c>
      <c r="G285" s="6">
        <v>454500774.63999999</v>
      </c>
      <c r="H285" s="6">
        <f>_xll.BDP($A285,"IPO_OFFER_PX_TO_LAST_CLOSE_%_CHG",$A$1,$A$2)</f>
        <v>85.428569999999993</v>
      </c>
      <c r="I285" s="6">
        <f>_xll.BDP($A285,"IPO_OFFER_PX_TO_1ST_OPEN_%_CHG",$A$1,$A$2)</f>
        <v>0</v>
      </c>
      <c r="J285" s="6">
        <v>14</v>
      </c>
      <c r="K285" s="6">
        <v>3690000</v>
      </c>
      <c r="L285" s="7" t="s">
        <v>33</v>
      </c>
      <c r="M285" s="7" t="s">
        <v>1048</v>
      </c>
      <c r="N285" s="7" t="s">
        <v>1048</v>
      </c>
    </row>
    <row r="286" spans="1:14" s="4" customFormat="1" ht="13.2" x14ac:dyDescent="0.25">
      <c r="A286" s="7" t="s">
        <v>1049</v>
      </c>
      <c r="B286" s="7" t="s">
        <v>1050</v>
      </c>
      <c r="C286" s="7" t="s">
        <v>1046</v>
      </c>
      <c r="D286" s="6"/>
      <c r="E286" s="7" t="s">
        <v>1051</v>
      </c>
      <c r="F286" s="7" t="s">
        <v>1050</v>
      </c>
      <c r="G286" s="6"/>
      <c r="H286" s="6" t="str">
        <f>_xll.BDP($A286,"IPO_OFFER_PX_TO_LAST_CLOSE_%_CHG",$A$1,$A$2)</f>
        <v>#N/A N/A</v>
      </c>
      <c r="I286" s="6">
        <f>_xll.BDP($A286,"IPO_OFFER_PX_TO_1ST_OPEN_%_CHG",$A$1,$A$2)</f>
        <v>1.470588</v>
      </c>
      <c r="J286" s="6">
        <v>17</v>
      </c>
      <c r="K286" s="6">
        <v>8825000</v>
      </c>
      <c r="L286" s="7"/>
      <c r="M286" s="7"/>
      <c r="N286" s="7"/>
    </row>
    <row r="287" spans="1:14" s="4" customFormat="1" ht="13.2" x14ac:dyDescent="0.25">
      <c r="A287" s="7" t="s">
        <v>1052</v>
      </c>
      <c r="B287" s="7" t="s">
        <v>1053</v>
      </c>
      <c r="C287" s="7" t="s">
        <v>1046</v>
      </c>
      <c r="D287" s="6">
        <v>0.32950000000000002</v>
      </c>
      <c r="E287" s="7" t="s">
        <v>1054</v>
      </c>
      <c r="F287" s="7" t="s">
        <v>1053</v>
      </c>
      <c r="G287" s="6">
        <v>13438568.864500001</v>
      </c>
      <c r="H287" s="6">
        <f>_xll.BDP($A287,"IPO_OFFER_PX_TO_LAST_CLOSE_%_CHG",$A$1,$A$2)</f>
        <v>-95.292850000000001</v>
      </c>
      <c r="I287" s="6">
        <f>_xll.BDP($A287,"IPO_OFFER_PX_TO_1ST_OPEN_%_CHG",$A$1,$A$2)</f>
        <v>5.4285709999999998</v>
      </c>
      <c r="J287" s="6">
        <v>7</v>
      </c>
      <c r="K287" s="6">
        <v>3000000</v>
      </c>
      <c r="L287" s="7" t="s">
        <v>21</v>
      </c>
      <c r="M287" s="7" t="s">
        <v>62</v>
      </c>
      <c r="N287" s="7" t="s">
        <v>62</v>
      </c>
    </row>
    <row r="288" spans="1:14" s="4" customFormat="1" ht="13.2" x14ac:dyDescent="0.25">
      <c r="A288" s="7" t="s">
        <v>1055</v>
      </c>
      <c r="B288" s="7" t="s">
        <v>1056</v>
      </c>
      <c r="C288" s="7" t="s">
        <v>1057</v>
      </c>
      <c r="D288" s="6">
        <v>49.04</v>
      </c>
      <c r="E288" s="7" t="s">
        <v>1058</v>
      </c>
      <c r="F288" s="7" t="s">
        <v>1056</v>
      </c>
      <c r="G288" s="6">
        <v>1048286543.1199998</v>
      </c>
      <c r="H288" s="6">
        <f>_xll.BDP($A288,"IPO_OFFER_PX_TO_LAST_CLOSE_%_CHG",$A$1,$A$2)</f>
        <v>145.19999999999999</v>
      </c>
      <c r="I288" s="6">
        <f>_xll.BDP($A288,"IPO_OFFER_PX_TO_1ST_OPEN_%_CHG",$A$1,$A$2)</f>
        <v>16.25</v>
      </c>
      <c r="J288" s="6">
        <v>20</v>
      </c>
      <c r="K288" s="6">
        <v>5265000</v>
      </c>
      <c r="L288" s="7" t="s">
        <v>66</v>
      </c>
      <c r="M288" s="7" t="s">
        <v>96</v>
      </c>
      <c r="N288" s="7" t="s">
        <v>97</v>
      </c>
    </row>
    <row r="289" spans="1:14" s="4" customFormat="1" ht="13.2" x14ac:dyDescent="0.25">
      <c r="A289" s="7" t="s">
        <v>1059</v>
      </c>
      <c r="B289" s="7" t="s">
        <v>1060</v>
      </c>
      <c r="C289" s="7" t="s">
        <v>1057</v>
      </c>
      <c r="D289" s="6">
        <v>3.87</v>
      </c>
      <c r="E289" s="7" t="s">
        <v>1061</v>
      </c>
      <c r="F289" s="7" t="s">
        <v>1060</v>
      </c>
      <c r="G289" s="6">
        <v>426004240.05000001</v>
      </c>
      <c r="H289" s="6">
        <f>_xll.BDP($A289,"IPO_OFFER_PX_TO_LAST_CLOSE_%_CHG",$A$1,$A$2)</f>
        <v>-75.8125</v>
      </c>
      <c r="I289" s="6">
        <f>_xll.BDP($A289,"IPO_OFFER_PX_TO_1ST_OPEN_%_CHG",$A$1,$A$2)</f>
        <v>32.625</v>
      </c>
      <c r="J289" s="6">
        <v>16</v>
      </c>
      <c r="K289" s="6">
        <v>25807000</v>
      </c>
      <c r="L289" s="7" t="s">
        <v>47</v>
      </c>
      <c r="M289" s="7" t="s">
        <v>871</v>
      </c>
      <c r="N289" s="7" t="s">
        <v>871</v>
      </c>
    </row>
    <row r="290" spans="1:14" s="4" customFormat="1" ht="13.2" x14ac:dyDescent="0.25">
      <c r="A290" s="7" t="s">
        <v>1062</v>
      </c>
      <c r="B290" s="7" t="s">
        <v>1063</v>
      </c>
      <c r="C290" s="7" t="s">
        <v>1064</v>
      </c>
      <c r="D290" s="6">
        <v>3.9E-2</v>
      </c>
      <c r="E290" s="7" t="s">
        <v>1065</v>
      </c>
      <c r="F290" s="7" t="s">
        <v>1063</v>
      </c>
      <c r="G290" s="6">
        <v>15816785.556</v>
      </c>
      <c r="H290" s="6">
        <f>_xll.BDP($A290,"IPO_OFFER_PX_TO_LAST_CLOSE_%_CHG",$A$1,$A$2)</f>
        <v>-96.1</v>
      </c>
      <c r="I290" s="6">
        <f>_xll.BDP($A290,"IPO_OFFER_PX_TO_1ST_OPEN_%_CHG",$A$1,$A$2)</f>
        <v>100</v>
      </c>
      <c r="J290" s="6">
        <v>1</v>
      </c>
      <c r="K290" s="6">
        <v>600000</v>
      </c>
      <c r="L290" s="7" t="s">
        <v>40</v>
      </c>
      <c r="M290" s="7" t="s">
        <v>41</v>
      </c>
      <c r="N290" s="7" t="s">
        <v>42</v>
      </c>
    </row>
    <row r="291" spans="1:14" s="4" customFormat="1" ht="13.2" x14ac:dyDescent="0.25">
      <c r="A291" s="7" t="s">
        <v>1066</v>
      </c>
      <c r="B291" s="7" t="s">
        <v>1067</v>
      </c>
      <c r="C291" s="7" t="s">
        <v>1064</v>
      </c>
      <c r="D291" s="6">
        <v>0.41</v>
      </c>
      <c r="E291" s="7" t="s">
        <v>1068</v>
      </c>
      <c r="F291" s="7" t="s">
        <v>1067</v>
      </c>
      <c r="G291" s="6">
        <v>83242079.420000002</v>
      </c>
      <c r="H291" s="6">
        <f>_xll.BDP($A291,"IPO_OFFER_PX_TO_LAST_CLOSE_%_CHG",$A$1,$A$2)</f>
        <v>-92.78931</v>
      </c>
      <c r="I291" s="6">
        <f>_xll.BDP($A291,"IPO_OFFER_PX_TO_1ST_OPEN_%_CHG",$A$1,$A$2)</f>
        <v>30.785329999999998</v>
      </c>
      <c r="J291" s="6">
        <v>8</v>
      </c>
      <c r="K291" s="6">
        <v>10000000</v>
      </c>
      <c r="L291" s="7" t="s">
        <v>47</v>
      </c>
      <c r="M291" s="7" t="s">
        <v>871</v>
      </c>
      <c r="N291" s="7" t="s">
        <v>871</v>
      </c>
    </row>
    <row r="292" spans="1:14" s="4" customFormat="1" ht="13.2" x14ac:dyDescent="0.25">
      <c r="A292" s="7" t="s">
        <v>1069</v>
      </c>
      <c r="B292" s="7" t="s">
        <v>1070</v>
      </c>
      <c r="C292" s="7" t="s">
        <v>1071</v>
      </c>
      <c r="D292" s="6">
        <v>9.9999999747524271E-7</v>
      </c>
      <c r="E292" s="7" t="s">
        <v>1072</v>
      </c>
      <c r="F292" s="7" t="s">
        <v>1070</v>
      </c>
      <c r="G292" s="6"/>
      <c r="H292" s="6">
        <f>_xll.BDP($A292,"IPO_OFFER_PX_TO_LAST_CLOSE_%_CHG",$A$1,$A$2)</f>
        <v>-99.999979999999994</v>
      </c>
      <c r="I292" s="6">
        <f>_xll.BDP($A292,"IPO_OFFER_PX_TO_1ST_OPEN_%_CHG",$A$1,$A$2)</f>
        <v>-9.6385550000000002</v>
      </c>
      <c r="J292" s="6">
        <v>4.1500000000000004</v>
      </c>
      <c r="K292" s="6">
        <v>3731300</v>
      </c>
      <c r="L292" s="7" t="s">
        <v>40</v>
      </c>
      <c r="M292" s="7" t="s">
        <v>41</v>
      </c>
      <c r="N292" s="7" t="s">
        <v>42</v>
      </c>
    </row>
    <row r="293" spans="1:14" s="4" customFormat="1" ht="13.2" x14ac:dyDescent="0.25">
      <c r="A293" s="7" t="s">
        <v>1073</v>
      </c>
      <c r="B293" s="7" t="s">
        <v>1074</v>
      </c>
      <c r="C293" s="7" t="s">
        <v>1075</v>
      </c>
      <c r="D293" s="6">
        <v>0.36799999999999999</v>
      </c>
      <c r="E293" s="7" t="s">
        <v>1076</v>
      </c>
      <c r="F293" s="7" t="s">
        <v>1074</v>
      </c>
      <c r="G293" s="6">
        <v>17883628.655999996</v>
      </c>
      <c r="H293" s="6">
        <f>_xll.BDP($A293,"IPO_OFFER_PX_TO_LAST_CLOSE_%_CHG",$A$1,$A$2)</f>
        <v>-97.7</v>
      </c>
      <c r="I293" s="6">
        <f>_xll.BDP($A293,"IPO_OFFER_PX_TO_1ST_OPEN_%_CHG",$A$1,$A$2)</f>
        <v>13.8125</v>
      </c>
      <c r="J293" s="6">
        <v>16</v>
      </c>
      <c r="K293" s="6">
        <v>7500000</v>
      </c>
      <c r="L293" s="7" t="s">
        <v>21</v>
      </c>
      <c r="M293" s="7" t="s">
        <v>22</v>
      </c>
      <c r="N293" s="7" t="s">
        <v>22</v>
      </c>
    </row>
    <row r="294" spans="1:14" s="4" customFormat="1" ht="13.2" x14ac:dyDescent="0.25">
      <c r="A294" s="7" t="s">
        <v>1077</v>
      </c>
      <c r="B294" s="7" t="s">
        <v>1078</v>
      </c>
      <c r="C294" s="7" t="s">
        <v>1079</v>
      </c>
      <c r="D294" s="6">
        <v>9.69</v>
      </c>
      <c r="E294" s="7" t="s">
        <v>1080</v>
      </c>
      <c r="F294" s="7" t="s">
        <v>1078</v>
      </c>
      <c r="G294" s="6">
        <v>2110047917.0699999</v>
      </c>
      <c r="H294" s="6">
        <f>_xll.BDP($A294,"IPO_OFFER_PX_TO_LAST_CLOSE_%_CHG",$A$1,$A$2)</f>
        <v>-19.25</v>
      </c>
      <c r="I294" s="6">
        <f>_xll.BDP($A294,"IPO_OFFER_PX_TO_1ST_OPEN_%_CHG",$A$1,$A$2)</f>
        <v>0</v>
      </c>
      <c r="J294" s="6">
        <v>12</v>
      </c>
      <c r="K294" s="6">
        <v>38236000</v>
      </c>
      <c r="L294" s="7" t="s">
        <v>21</v>
      </c>
      <c r="M294" s="7" t="s">
        <v>248</v>
      </c>
      <c r="N294" s="7" t="s">
        <v>249</v>
      </c>
    </row>
    <row r="295" spans="1:14" s="4" customFormat="1" ht="13.2" x14ac:dyDescent="0.25">
      <c r="A295" s="7" t="s">
        <v>1081</v>
      </c>
      <c r="B295" s="7" t="s">
        <v>1082</v>
      </c>
      <c r="C295" s="7" t="s">
        <v>1079</v>
      </c>
      <c r="D295" s="6"/>
      <c r="E295" s="7" t="s">
        <v>1083</v>
      </c>
      <c r="F295" s="7" t="s">
        <v>1082</v>
      </c>
      <c r="G295" s="6"/>
      <c r="H295" s="6" t="str">
        <f>_xll.BDP($A295,"IPO_OFFER_PX_TO_LAST_CLOSE_%_CHG",$A$1,$A$2)</f>
        <v>#N/A N/A</v>
      </c>
      <c r="I295" s="6">
        <f>_xll.BDP($A295,"IPO_OFFER_PX_TO_1ST_OPEN_%_CHG",$A$1,$A$2)</f>
        <v>12.5</v>
      </c>
      <c r="J295" s="6">
        <v>24</v>
      </c>
      <c r="K295" s="6">
        <v>21300000</v>
      </c>
      <c r="L295" s="7"/>
      <c r="M295" s="7"/>
      <c r="N295" s="7"/>
    </row>
    <row r="296" spans="1:14" s="4" customFormat="1" ht="13.2" x14ac:dyDescent="0.25">
      <c r="A296" s="7" t="s">
        <v>1084</v>
      </c>
      <c r="B296" s="7" t="s">
        <v>1085</v>
      </c>
      <c r="C296" s="7" t="s">
        <v>1079</v>
      </c>
      <c r="D296" s="6">
        <v>26.26</v>
      </c>
      <c r="E296" s="7" t="s">
        <v>1086</v>
      </c>
      <c r="F296" s="7" t="s">
        <v>1085</v>
      </c>
      <c r="G296" s="6">
        <v>3309084941.2400002</v>
      </c>
      <c r="H296" s="6">
        <f>_xll.BDP($A296,"IPO_OFFER_PX_TO_LAST_CLOSE_%_CHG",$A$1,$A$2)</f>
        <v>14.173909999999999</v>
      </c>
      <c r="I296" s="6">
        <f>_xll.BDP($A296,"IPO_OFFER_PX_TO_1ST_OPEN_%_CHG",$A$1,$A$2)</f>
        <v>30.43478</v>
      </c>
      <c r="J296" s="6">
        <v>23</v>
      </c>
      <c r="K296" s="6">
        <v>19500000</v>
      </c>
      <c r="L296" s="7" t="s">
        <v>21</v>
      </c>
      <c r="M296" s="7" t="s">
        <v>248</v>
      </c>
      <c r="N296" s="7" t="s">
        <v>249</v>
      </c>
    </row>
    <row r="297" spans="1:14" s="4" customFormat="1" ht="13.2" x14ac:dyDescent="0.25">
      <c r="A297" s="7" t="s">
        <v>1087</v>
      </c>
      <c r="B297" s="7" t="s">
        <v>1088</v>
      </c>
      <c r="C297" s="7" t="s">
        <v>1089</v>
      </c>
      <c r="D297" s="6">
        <v>3.85</v>
      </c>
      <c r="E297" s="7" t="s">
        <v>1090</v>
      </c>
      <c r="F297" s="7" t="s">
        <v>1088</v>
      </c>
      <c r="G297" s="6">
        <v>61620381.899999999</v>
      </c>
      <c r="H297" s="6">
        <f>_xll.BDP($A297,"IPO_OFFER_PX_TO_LAST_CLOSE_%_CHG",$A$1,$A$2)</f>
        <v>-97.038460000000001</v>
      </c>
      <c r="I297" s="6">
        <f>_xll.BDP($A297,"IPO_OFFER_PX_TO_1ST_OPEN_%_CHG",$A$1,$A$2)</f>
        <v>17</v>
      </c>
      <c r="J297" s="6">
        <v>13</v>
      </c>
      <c r="K297" s="6">
        <v>19840000</v>
      </c>
      <c r="L297" s="7" t="s">
        <v>33</v>
      </c>
      <c r="M297" s="7" t="s">
        <v>265</v>
      </c>
      <c r="N297" s="7" t="s">
        <v>266</v>
      </c>
    </row>
    <row r="298" spans="1:14" s="4" customFormat="1" ht="13.2" x14ac:dyDescent="0.25">
      <c r="A298" s="7" t="s">
        <v>1091</v>
      </c>
      <c r="B298" s="7" t="s">
        <v>1092</v>
      </c>
      <c r="C298" s="7" t="s">
        <v>1089</v>
      </c>
      <c r="D298" s="6">
        <v>9.7799999999999994</v>
      </c>
      <c r="E298" s="7" t="s">
        <v>1093</v>
      </c>
      <c r="F298" s="7" t="s">
        <v>1092</v>
      </c>
      <c r="G298" s="6"/>
      <c r="H298" s="6">
        <f>_xll.BDP($A298,"IPO_OFFER_PX_TO_LAST_CLOSE_%_CHG",$A$1,$A$2)</f>
        <v>-51.1</v>
      </c>
      <c r="I298" s="6" t="str">
        <f>_xll.BDP($A298,"IPO_OFFER_PX_TO_1ST_OPEN_%_CHG",$A$1,$A$2)</f>
        <v>#N/A N/A</v>
      </c>
      <c r="J298" s="6">
        <v>20</v>
      </c>
      <c r="K298" s="6">
        <v>28750000</v>
      </c>
      <c r="L298" s="7"/>
      <c r="M298" s="7"/>
      <c r="N298" s="7"/>
    </row>
    <row r="299" spans="1:14" s="4" customFormat="1" ht="13.2" x14ac:dyDescent="0.25">
      <c r="A299" s="7" t="s">
        <v>1094</v>
      </c>
      <c r="B299" s="7" t="s">
        <v>1095</v>
      </c>
      <c r="C299" s="7" t="s">
        <v>1096</v>
      </c>
      <c r="D299" s="6"/>
      <c r="E299" s="7" t="s">
        <v>1097</v>
      </c>
      <c r="F299" s="7" t="s">
        <v>1095</v>
      </c>
      <c r="G299" s="6"/>
      <c r="H299" s="6" t="str">
        <f>_xll.BDP($A299,"IPO_OFFER_PX_TO_LAST_CLOSE_%_CHG",$A$1,$A$2)</f>
        <v>#N/A N/A</v>
      </c>
      <c r="I299" s="6">
        <f>_xll.BDP($A299,"IPO_OFFER_PX_TO_1ST_OPEN_%_CHG",$A$1,$A$2)</f>
        <v>2.0666669999999998</v>
      </c>
      <c r="J299" s="6">
        <v>15</v>
      </c>
      <c r="K299" s="6">
        <v>5333300</v>
      </c>
      <c r="L299" s="7"/>
      <c r="M299" s="7"/>
      <c r="N299" s="7"/>
    </row>
    <row r="300" spans="1:14" s="4" customFormat="1" ht="13.2" x14ac:dyDescent="0.25">
      <c r="A300" s="7" t="s">
        <v>1098</v>
      </c>
      <c r="B300" s="7" t="s">
        <v>1099</v>
      </c>
      <c r="C300" s="7" t="s">
        <v>1096</v>
      </c>
      <c r="D300" s="6">
        <v>4.2300000000000004</v>
      </c>
      <c r="E300" s="7" t="s">
        <v>1100</v>
      </c>
      <c r="F300" s="7" t="s">
        <v>1099</v>
      </c>
      <c r="G300" s="6">
        <v>274412688.47999996</v>
      </c>
      <c r="H300" s="6">
        <f>_xll.BDP($A300,"IPO_OFFER_PX_TO_LAST_CLOSE_%_CHG",$A$1,$A$2)</f>
        <v>-75.117649999999998</v>
      </c>
      <c r="I300" s="6">
        <f>_xll.BDP($A300,"IPO_OFFER_PX_TO_1ST_OPEN_%_CHG",$A$1,$A$2)</f>
        <v>44.117649999999998</v>
      </c>
      <c r="J300" s="6">
        <v>17</v>
      </c>
      <c r="K300" s="6">
        <v>11250000</v>
      </c>
      <c r="L300" s="7" t="s">
        <v>21</v>
      </c>
      <c r="M300" s="7" t="s">
        <v>87</v>
      </c>
      <c r="N300" s="7" t="s">
        <v>88</v>
      </c>
    </row>
    <row r="301" spans="1:14" s="4" customFormat="1" ht="13.2" x14ac:dyDescent="0.25">
      <c r="A301" s="7" t="s">
        <v>1101</v>
      </c>
      <c r="B301" s="7" t="s">
        <v>1102</v>
      </c>
      <c r="C301" s="7" t="s">
        <v>1096</v>
      </c>
      <c r="D301" s="6"/>
      <c r="E301" s="7" t="s">
        <v>1103</v>
      </c>
      <c r="F301" s="7" t="s">
        <v>1102</v>
      </c>
      <c r="G301" s="6"/>
      <c r="H301" s="6" t="str">
        <f>_xll.BDP($A301,"IPO_OFFER_PX_TO_LAST_CLOSE_%_CHG",$A$1,$A$2)</f>
        <v>#N/A N/A</v>
      </c>
      <c r="I301" s="6">
        <f>_xll.BDP($A301,"IPO_OFFER_PX_TO_1ST_OPEN_%_CHG",$A$1,$A$2)</f>
        <v>30</v>
      </c>
      <c r="J301" s="6">
        <v>17</v>
      </c>
      <c r="K301" s="6">
        <v>7352900</v>
      </c>
      <c r="L301" s="7"/>
      <c r="M301" s="7"/>
      <c r="N301" s="7"/>
    </row>
    <row r="302" spans="1:14" s="4" customFormat="1" ht="13.2" x14ac:dyDescent="0.25">
      <c r="A302" s="7" t="s">
        <v>1104</v>
      </c>
      <c r="B302" s="7" t="s">
        <v>1105</v>
      </c>
      <c r="C302" s="7" t="s">
        <v>1096</v>
      </c>
      <c r="D302" s="6"/>
      <c r="E302" s="7" t="s">
        <v>1106</v>
      </c>
      <c r="F302" s="7" t="s">
        <v>1105</v>
      </c>
      <c r="G302" s="6"/>
      <c r="H302" s="6" t="str">
        <f>_xll.BDP($A302,"IPO_OFFER_PX_TO_LAST_CLOSE_%_CHG",$A$1,$A$2)</f>
        <v>#N/A N/A</v>
      </c>
      <c r="I302" s="6" t="str">
        <f>_xll.BDP($A302,"IPO_OFFER_PX_TO_1ST_OPEN_%_CHG",$A$1,$A$2)</f>
        <v>#N/A N/A</v>
      </c>
      <c r="J302" s="6">
        <v>14</v>
      </c>
      <c r="K302" s="6">
        <v>26315800</v>
      </c>
      <c r="L302" s="7"/>
      <c r="M302" s="7"/>
      <c r="N302" s="7"/>
    </row>
    <row r="303" spans="1:14" s="4" customFormat="1" ht="13.2" x14ac:dyDescent="0.25">
      <c r="A303" s="7" t="s">
        <v>1107</v>
      </c>
      <c r="B303" s="7" t="s">
        <v>1108</v>
      </c>
      <c r="C303" s="7" t="s">
        <v>1096</v>
      </c>
      <c r="D303" s="6">
        <v>6.11</v>
      </c>
      <c r="E303" s="7" t="s">
        <v>1109</v>
      </c>
      <c r="F303" s="7" t="s">
        <v>1108</v>
      </c>
      <c r="G303" s="6">
        <v>717384808.78999996</v>
      </c>
      <c r="H303" s="6">
        <f>_xll.BDP($A303,"IPO_OFFER_PX_TO_LAST_CLOSE_%_CHG",$A$1,$A$2)</f>
        <v>-67.842100000000002</v>
      </c>
      <c r="I303" s="6">
        <f>_xll.BDP($A303,"IPO_OFFER_PX_TO_1ST_OPEN_%_CHG",$A$1,$A$2)</f>
        <v>30</v>
      </c>
      <c r="J303" s="6">
        <v>19</v>
      </c>
      <c r="K303" s="6">
        <v>20000000</v>
      </c>
      <c r="L303" s="7" t="s">
        <v>102</v>
      </c>
      <c r="M303" s="7" t="s">
        <v>270</v>
      </c>
      <c r="N303" s="7" t="s">
        <v>270</v>
      </c>
    </row>
    <row r="304" spans="1:14" s="4" customFormat="1" ht="13.2" x14ac:dyDescent="0.25">
      <c r="A304" s="7" t="s">
        <v>1110</v>
      </c>
      <c r="B304" s="7" t="s">
        <v>1111</v>
      </c>
      <c r="C304" s="7" t="s">
        <v>1112</v>
      </c>
      <c r="D304" s="6">
        <v>15.75</v>
      </c>
      <c r="E304" s="7" t="s">
        <v>1113</v>
      </c>
      <c r="F304" s="7" t="s">
        <v>1111</v>
      </c>
      <c r="G304" s="6">
        <v>536976483.75</v>
      </c>
      <c r="H304" s="6">
        <f>_xll.BDP($A304,"IPO_OFFER_PX_TO_LAST_CLOSE_%_CHG",$A$1,$A$2)</f>
        <v>-7.3529410000000004</v>
      </c>
      <c r="I304" s="6">
        <f>_xll.BDP($A304,"IPO_OFFER_PX_TO_1ST_OPEN_%_CHG",$A$1,$A$2)</f>
        <v>36.764710000000001</v>
      </c>
      <c r="J304" s="6">
        <v>17</v>
      </c>
      <c r="K304" s="6">
        <v>6000000</v>
      </c>
      <c r="L304" s="7" t="s">
        <v>21</v>
      </c>
      <c r="M304" s="7" t="s">
        <v>87</v>
      </c>
      <c r="N304" s="7" t="s">
        <v>88</v>
      </c>
    </row>
    <row r="305" spans="1:14" s="4" customFormat="1" ht="13.2" x14ac:dyDescent="0.25">
      <c r="A305" s="7" t="s">
        <v>1114</v>
      </c>
      <c r="B305" s="7" t="s">
        <v>1115</v>
      </c>
      <c r="C305" s="7" t="s">
        <v>1112</v>
      </c>
      <c r="D305" s="6"/>
      <c r="E305" s="7" t="s">
        <v>1116</v>
      </c>
      <c r="F305" s="7" t="s">
        <v>1115</v>
      </c>
      <c r="G305" s="6"/>
      <c r="H305" s="6" t="str">
        <f>_xll.BDP($A305,"IPO_OFFER_PX_TO_LAST_CLOSE_%_CHG",$A$1,$A$2)</f>
        <v>#N/A N/A</v>
      </c>
      <c r="I305" s="6">
        <f>_xll.BDP($A305,"IPO_OFFER_PX_TO_1ST_OPEN_%_CHG",$A$1,$A$2)</f>
        <v>30</v>
      </c>
      <c r="J305" s="6">
        <v>31</v>
      </c>
      <c r="K305" s="6">
        <v>16130000</v>
      </c>
      <c r="L305" s="7"/>
      <c r="M305" s="7"/>
      <c r="N305" s="7"/>
    </row>
    <row r="306" spans="1:14" s="4" customFormat="1" ht="13.2" x14ac:dyDescent="0.25">
      <c r="A306" s="7" t="s">
        <v>1117</v>
      </c>
      <c r="B306" s="7" t="s">
        <v>1118</v>
      </c>
      <c r="C306" s="7" t="s">
        <v>1112</v>
      </c>
      <c r="D306" s="6"/>
      <c r="E306" s="7" t="s">
        <v>1119</v>
      </c>
      <c r="F306" s="7" t="s">
        <v>1118</v>
      </c>
      <c r="G306" s="6"/>
      <c r="H306" s="6" t="str">
        <f>_xll.BDP($A306,"IPO_OFFER_PX_TO_LAST_CLOSE_%_CHG",$A$1,$A$2)</f>
        <v>#N/A N/A</v>
      </c>
      <c r="I306" s="6">
        <f>_xll.BDP($A306,"IPO_OFFER_PX_TO_1ST_OPEN_%_CHG",$A$1,$A$2)</f>
        <v>24.6875</v>
      </c>
      <c r="J306" s="6">
        <v>16</v>
      </c>
      <c r="K306" s="6">
        <v>9500000</v>
      </c>
      <c r="L306" s="7"/>
      <c r="M306" s="7"/>
      <c r="N306" s="7"/>
    </row>
    <row r="307" spans="1:14" s="4" customFormat="1" ht="13.2" x14ac:dyDescent="0.25">
      <c r="A307" s="7" t="s">
        <v>1120</v>
      </c>
      <c r="B307" s="7" t="s">
        <v>1121</v>
      </c>
      <c r="C307" s="7" t="s">
        <v>1122</v>
      </c>
      <c r="D307" s="6">
        <v>12.16</v>
      </c>
      <c r="E307" s="7" t="s">
        <v>1123</v>
      </c>
      <c r="F307" s="7" t="s">
        <v>1121</v>
      </c>
      <c r="G307" s="6">
        <v>6300342434.5600004</v>
      </c>
      <c r="H307" s="6">
        <f>_xll.BDP($A307,"IPO_OFFER_PX_TO_LAST_CLOSE_%_CHG",$A$1,$A$2)</f>
        <v>-78.285709999999995</v>
      </c>
      <c r="I307" s="6">
        <f>_xll.BDP($A307,"IPO_OFFER_PX_TO_1ST_OPEN_%_CHG",$A$1,$A$2)</f>
        <v>16.964279999999999</v>
      </c>
      <c r="J307" s="6">
        <v>56</v>
      </c>
      <c r="K307" s="6">
        <v>23890800</v>
      </c>
      <c r="L307" s="7" t="s">
        <v>40</v>
      </c>
      <c r="M307" s="7" t="s">
        <v>41</v>
      </c>
      <c r="N307" s="7" t="s">
        <v>275</v>
      </c>
    </row>
    <row r="308" spans="1:14" s="4" customFormat="1" ht="13.2" x14ac:dyDescent="0.25">
      <c r="A308" s="7" t="s">
        <v>1124</v>
      </c>
      <c r="B308" s="7" t="s">
        <v>1125</v>
      </c>
      <c r="C308" s="7" t="s">
        <v>1122</v>
      </c>
      <c r="D308" s="6">
        <v>11.56</v>
      </c>
      <c r="E308" s="7" t="s">
        <v>1126</v>
      </c>
      <c r="F308" s="7" t="s">
        <v>1125</v>
      </c>
      <c r="G308" s="6">
        <v>1774046024.8400002</v>
      </c>
      <c r="H308" s="6">
        <f>_xll.BDP($A308,"IPO_OFFER_PX_TO_LAST_CLOSE_%_CHG",$A$1,$A$2)</f>
        <v>-57.185180000000003</v>
      </c>
      <c r="I308" s="6">
        <f>_xll.BDP($A308,"IPO_OFFER_PX_TO_1ST_OPEN_%_CHG",$A$1,$A$2)</f>
        <v>29.629629999999999</v>
      </c>
      <c r="J308" s="6">
        <v>27</v>
      </c>
      <c r="K308" s="6">
        <v>13333300</v>
      </c>
      <c r="L308" s="7" t="s">
        <v>174</v>
      </c>
      <c r="M308" s="7" t="s">
        <v>556</v>
      </c>
      <c r="N308" s="7" t="s">
        <v>1127</v>
      </c>
    </row>
    <row r="309" spans="1:14" s="4" customFormat="1" ht="13.2" x14ac:dyDescent="0.25">
      <c r="A309" s="7" t="s">
        <v>1128</v>
      </c>
      <c r="B309" s="7" t="s">
        <v>1129</v>
      </c>
      <c r="C309" s="7" t="s">
        <v>1122</v>
      </c>
      <c r="D309" s="6">
        <v>30.8</v>
      </c>
      <c r="E309" s="7" t="s">
        <v>1130</v>
      </c>
      <c r="F309" s="7" t="s">
        <v>1129</v>
      </c>
      <c r="G309" s="6">
        <v>1515501741.6000001</v>
      </c>
      <c r="H309" s="6">
        <f>_xll.BDP($A309,"IPO_OFFER_PX_TO_LAST_CLOSE_%_CHG",$A$1,$A$2)</f>
        <v>120</v>
      </c>
      <c r="I309" s="6">
        <f>_xll.BDP($A309,"IPO_OFFER_PX_TO_1ST_OPEN_%_CHG",$A$1,$A$2)</f>
        <v>10.71429</v>
      </c>
      <c r="J309" s="6">
        <v>14</v>
      </c>
      <c r="K309" s="6">
        <v>6960000</v>
      </c>
      <c r="L309" s="7" t="s">
        <v>40</v>
      </c>
      <c r="M309" s="7" t="s">
        <v>257</v>
      </c>
      <c r="N309" s="7" t="s">
        <v>258</v>
      </c>
    </row>
    <row r="310" spans="1:14" s="4" customFormat="1" ht="13.2" x14ac:dyDescent="0.25">
      <c r="A310" s="7" t="s">
        <v>1131</v>
      </c>
      <c r="B310" s="7" t="s">
        <v>1132</v>
      </c>
      <c r="C310" s="7" t="s">
        <v>1133</v>
      </c>
      <c r="D310" s="6"/>
      <c r="E310" s="7" t="s">
        <v>1134</v>
      </c>
      <c r="F310" s="7" t="s">
        <v>1132</v>
      </c>
      <c r="G310" s="6"/>
      <c r="H310" s="6" t="str">
        <f>_xll.BDP($A310,"IPO_OFFER_PX_TO_LAST_CLOSE_%_CHG",$A$1,$A$2)</f>
        <v>#N/A N/A</v>
      </c>
      <c r="I310" s="6">
        <f>_xll.BDP($A310,"IPO_OFFER_PX_TO_1ST_OPEN_%_CHG",$A$1,$A$2)</f>
        <v>-13.25301</v>
      </c>
      <c r="J310" s="6">
        <v>4.1500000000000004</v>
      </c>
      <c r="K310" s="6">
        <v>5783100</v>
      </c>
      <c r="L310" s="7"/>
      <c r="M310" s="7"/>
      <c r="N310" s="7"/>
    </row>
    <row r="311" spans="1:14" s="4" customFormat="1" ht="13.2" x14ac:dyDescent="0.25">
      <c r="A311" s="7" t="s">
        <v>1135</v>
      </c>
      <c r="B311" s="7" t="s">
        <v>1136</v>
      </c>
      <c r="C311" s="7" t="s">
        <v>1137</v>
      </c>
      <c r="D311" s="6"/>
      <c r="E311" s="7" t="s">
        <v>1138</v>
      </c>
      <c r="F311" s="7" t="s">
        <v>1136</v>
      </c>
      <c r="G311" s="6"/>
      <c r="H311" s="6" t="str">
        <f>_xll.BDP($A311,"IPO_OFFER_PX_TO_LAST_CLOSE_%_CHG",$A$1,$A$2)</f>
        <v>#N/A N/A</v>
      </c>
      <c r="I311" s="6">
        <f>_xll.BDP($A311,"IPO_OFFER_PX_TO_1ST_OPEN_%_CHG",$A$1,$A$2)</f>
        <v>30</v>
      </c>
      <c r="J311" s="6">
        <v>20</v>
      </c>
      <c r="K311" s="6">
        <v>6580000</v>
      </c>
      <c r="L311" s="7"/>
      <c r="M311" s="7"/>
      <c r="N311" s="7"/>
    </row>
    <row r="312" spans="1:14" s="4" customFormat="1" ht="13.2" x14ac:dyDescent="0.25">
      <c r="A312" s="7" t="s">
        <v>1139</v>
      </c>
      <c r="B312" s="7" t="s">
        <v>1140</v>
      </c>
      <c r="C312" s="7" t="s">
        <v>1137</v>
      </c>
      <c r="D312" s="6">
        <v>2.89</v>
      </c>
      <c r="E312" s="7" t="s">
        <v>1141</v>
      </c>
      <c r="F312" s="7" t="s">
        <v>1140</v>
      </c>
      <c r="G312" s="6">
        <v>1531541625.1100001</v>
      </c>
      <c r="H312" s="6">
        <f>_xll.BDP($A312,"IPO_OFFER_PX_TO_LAST_CLOSE_%_CHG",$A$1,$A$2)</f>
        <v>-83.94444</v>
      </c>
      <c r="I312" s="6">
        <f>_xll.BDP($A312,"IPO_OFFER_PX_TO_1ST_OPEN_%_CHG",$A$1,$A$2)</f>
        <v>66.666659999999993</v>
      </c>
      <c r="J312" s="6">
        <v>18</v>
      </c>
      <c r="K312" s="6">
        <v>24242400</v>
      </c>
      <c r="L312" s="7" t="s">
        <v>21</v>
      </c>
      <c r="M312" s="7" t="s">
        <v>22</v>
      </c>
      <c r="N312" s="7" t="s">
        <v>22</v>
      </c>
    </row>
    <row r="313" spans="1:14" s="4" customFormat="1" ht="13.2" x14ac:dyDescent="0.25">
      <c r="A313" s="7" t="s">
        <v>1142</v>
      </c>
      <c r="B313" s="7" t="s">
        <v>1143</v>
      </c>
      <c r="C313" s="7" t="s">
        <v>1137</v>
      </c>
      <c r="D313" s="6">
        <v>1.31</v>
      </c>
      <c r="E313" s="7" t="s">
        <v>1144</v>
      </c>
      <c r="F313" s="7" t="s">
        <v>1143</v>
      </c>
      <c r="G313" s="6">
        <v>94712266.400000006</v>
      </c>
      <c r="H313" s="6">
        <f>_xll.BDP($A313,"IPO_OFFER_PX_TO_LAST_CLOSE_%_CHG",$A$1,$A$2)</f>
        <v>-92.294120000000007</v>
      </c>
      <c r="I313" s="6">
        <f>_xll.BDP($A313,"IPO_OFFER_PX_TO_1ST_OPEN_%_CHG",$A$1,$A$2)</f>
        <v>17.64706</v>
      </c>
      <c r="J313" s="6">
        <v>17</v>
      </c>
      <c r="K313" s="6">
        <v>9000000</v>
      </c>
      <c r="L313" s="7" t="s">
        <v>21</v>
      </c>
      <c r="M313" s="7" t="s">
        <v>22</v>
      </c>
      <c r="N313" s="7" t="s">
        <v>22</v>
      </c>
    </row>
    <row r="314" spans="1:14" s="4" customFormat="1" ht="13.2" x14ac:dyDescent="0.25">
      <c r="A314" s="7" t="s">
        <v>1145</v>
      </c>
      <c r="B314" s="7" t="s">
        <v>1146</v>
      </c>
      <c r="C314" s="7" t="s">
        <v>1147</v>
      </c>
      <c r="D314" s="6">
        <v>424.6</v>
      </c>
      <c r="E314" s="7" t="s">
        <v>1148</v>
      </c>
      <c r="F314" s="7" t="s">
        <v>1146</v>
      </c>
      <c r="G314" s="6">
        <v>142640124000.00003</v>
      </c>
      <c r="H314" s="6">
        <f>_xll.BDP($A314,"IPO_OFFER_PX_TO_LAST_CLOSE_%_CHG",$A$1,$A$2)</f>
        <v>430.75</v>
      </c>
      <c r="I314" s="6">
        <f>_xll.BDP($A314,"IPO_OFFER_PX_TO_1ST_OPEN_%_CHG",$A$1,$A$2)</f>
        <v>-12.5</v>
      </c>
      <c r="J314" s="6">
        <v>80</v>
      </c>
      <c r="K314" s="6">
        <v>25000000</v>
      </c>
      <c r="L314" s="7" t="s">
        <v>40</v>
      </c>
      <c r="M314" s="7" t="s">
        <v>41</v>
      </c>
      <c r="N314" s="7" t="s">
        <v>42</v>
      </c>
    </row>
    <row r="315" spans="1:14" s="4" customFormat="1" ht="13.2" x14ac:dyDescent="0.25">
      <c r="A315" s="7" t="s">
        <v>1149</v>
      </c>
      <c r="B315" s="7" t="s">
        <v>1150</v>
      </c>
      <c r="C315" s="7" t="s">
        <v>1147</v>
      </c>
      <c r="D315" s="6">
        <v>122.1</v>
      </c>
      <c r="E315" s="7" t="s">
        <v>1151</v>
      </c>
      <c r="F315" s="7" t="s">
        <v>1150</v>
      </c>
      <c r="G315" s="6">
        <v>2037090270.5999997</v>
      </c>
      <c r="H315" s="6">
        <f>_xll.BDP($A315,"IPO_OFFER_PX_TO_LAST_CLOSE_%_CHG",$A$1,$A$2)</f>
        <v>-78.765219999999999</v>
      </c>
      <c r="I315" s="6">
        <f>_xll.BDP($A315,"IPO_OFFER_PX_TO_1ST_OPEN_%_CHG",$A$1,$A$2)</f>
        <v>22.826090000000001</v>
      </c>
      <c r="J315" s="6">
        <v>23</v>
      </c>
      <c r="K315" s="6">
        <v>46600000</v>
      </c>
      <c r="L315" s="7" t="s">
        <v>21</v>
      </c>
      <c r="M315" s="7" t="s">
        <v>248</v>
      </c>
      <c r="N315" s="7" t="s">
        <v>249</v>
      </c>
    </row>
    <row r="316" spans="1:14" s="4" customFormat="1" ht="13.2" x14ac:dyDescent="0.25">
      <c r="A316" s="7" t="s">
        <v>1152</v>
      </c>
      <c r="B316" s="7" t="s">
        <v>1153</v>
      </c>
      <c r="C316" s="7" t="s">
        <v>1147</v>
      </c>
      <c r="D316" s="6">
        <v>38.534999999999997</v>
      </c>
      <c r="E316" s="7" t="s">
        <v>1154</v>
      </c>
      <c r="F316" s="7" t="s">
        <v>1153</v>
      </c>
      <c r="G316" s="6">
        <v>769302374.08499992</v>
      </c>
      <c r="H316" s="6">
        <f>_xll.BDP($A316,"IPO_OFFER_PX_TO_LAST_CLOSE_%_CHG",$A$1,$A$2)</f>
        <v>140.84375</v>
      </c>
      <c r="I316" s="6">
        <f>_xll.BDP($A316,"IPO_OFFER_PX_TO_1ST_OPEN_%_CHG",$A$1,$A$2)</f>
        <v>16.25</v>
      </c>
      <c r="J316" s="6">
        <v>16</v>
      </c>
      <c r="K316" s="6">
        <v>3950000</v>
      </c>
      <c r="L316" s="7" t="s">
        <v>33</v>
      </c>
      <c r="M316" s="7" t="s">
        <v>653</v>
      </c>
      <c r="N316" s="7" t="s">
        <v>653</v>
      </c>
    </row>
    <row r="317" spans="1:14" s="4" customFormat="1" ht="13.2" x14ac:dyDescent="0.25">
      <c r="A317" s="7" t="s">
        <v>1155</v>
      </c>
      <c r="B317" s="7" t="s">
        <v>1156</v>
      </c>
      <c r="C317" s="7" t="s">
        <v>1147</v>
      </c>
      <c r="D317" s="6">
        <v>15.27</v>
      </c>
      <c r="E317" s="7" t="s">
        <v>1157</v>
      </c>
      <c r="F317" s="7" t="s">
        <v>1156</v>
      </c>
      <c r="G317" s="6">
        <v>45057891.419999987</v>
      </c>
      <c r="H317" s="6" t="str">
        <f>_xll.BDP($A317,"IPO_OFFER_PX_TO_LAST_CLOSE_%_CHG",$A$1,$A$2)</f>
        <v>#N/A N/A</v>
      </c>
      <c r="I317" s="6" t="str">
        <f>_xll.BDP($A317,"IPO_OFFER_PX_TO_1ST_OPEN_%_CHG",$A$1,$A$2)</f>
        <v>#N/A N/A</v>
      </c>
      <c r="J317" s="6"/>
      <c r="K317" s="6">
        <v>931500</v>
      </c>
      <c r="L317" s="7" t="s">
        <v>66</v>
      </c>
      <c r="M317" s="7" t="s">
        <v>96</v>
      </c>
      <c r="N317" s="7" t="s">
        <v>97</v>
      </c>
    </row>
    <row r="318" spans="1:14" s="4" customFormat="1" ht="13.2" x14ac:dyDescent="0.25">
      <c r="A318" s="7" t="s">
        <v>1158</v>
      </c>
      <c r="B318" s="7" t="s">
        <v>1159</v>
      </c>
      <c r="C318" s="7" t="s">
        <v>1147</v>
      </c>
      <c r="D318" s="6">
        <v>2.0000000000000001E-4</v>
      </c>
      <c r="E318" s="7" t="s">
        <v>1160</v>
      </c>
      <c r="F318" s="7" t="s">
        <v>1159</v>
      </c>
      <c r="G318" s="6">
        <v>2995.9284000000002</v>
      </c>
      <c r="H318" s="6">
        <f>_xll.BDP($A318,"IPO_OFFER_PX_TO_LAST_CLOSE_%_CHG",$A$1,$A$2)</f>
        <v>-99.999889999999994</v>
      </c>
      <c r="I318" s="6">
        <f>_xll.BDP($A318,"IPO_OFFER_PX_TO_1ST_OPEN_%_CHG",$A$1,$A$2)</f>
        <v>250</v>
      </c>
      <c r="J318" s="6">
        <v>6</v>
      </c>
      <c r="K318" s="6">
        <v>2400000</v>
      </c>
      <c r="L318" s="7" t="s">
        <v>102</v>
      </c>
      <c r="M318" s="7" t="s">
        <v>103</v>
      </c>
      <c r="N318" s="7" t="s">
        <v>1161</v>
      </c>
    </row>
    <row r="319" spans="1:14" s="4" customFormat="1" ht="13.2" x14ac:dyDescent="0.25">
      <c r="A319" s="7" t="s">
        <v>1162</v>
      </c>
      <c r="B319" s="7" t="s">
        <v>1163</v>
      </c>
      <c r="C319" s="7" t="s">
        <v>1147</v>
      </c>
      <c r="D319" s="6">
        <v>0.21</v>
      </c>
      <c r="E319" s="7" t="s">
        <v>1164</v>
      </c>
      <c r="F319" s="7" t="s">
        <v>1163</v>
      </c>
      <c r="G319" s="6">
        <v>48277043.43</v>
      </c>
      <c r="H319" s="6">
        <f>_xll.BDP($A319,"IPO_OFFER_PX_TO_LAST_CLOSE_%_CHG",$A$1,$A$2)</f>
        <v>-99.474999999999994</v>
      </c>
      <c r="I319" s="6">
        <f>_xll.BDP($A319,"IPO_OFFER_PX_TO_1ST_OPEN_%_CHG",$A$1,$A$2)</f>
        <v>0.625</v>
      </c>
      <c r="J319" s="6">
        <v>40</v>
      </c>
      <c r="K319" s="6">
        <v>33783800</v>
      </c>
      <c r="L319" s="7" t="s">
        <v>33</v>
      </c>
      <c r="M319" s="7" t="s">
        <v>179</v>
      </c>
      <c r="N319" s="7" t="s">
        <v>1165</v>
      </c>
    </row>
    <row r="320" spans="1:14" s="4" customFormat="1" ht="13.2" x14ac:dyDescent="0.25">
      <c r="A320" s="7" t="s">
        <v>1166</v>
      </c>
      <c r="B320" s="7" t="s">
        <v>1167</v>
      </c>
      <c r="C320" s="7" t="s">
        <v>1168</v>
      </c>
      <c r="D320" s="6">
        <v>17.989999999999998</v>
      </c>
      <c r="E320" s="7" t="s">
        <v>1169</v>
      </c>
      <c r="F320" s="7" t="s">
        <v>1167</v>
      </c>
      <c r="G320" s="6">
        <v>1925274940.2599998</v>
      </c>
      <c r="H320" s="6">
        <f>_xll.BDP($A320,"IPO_OFFER_PX_TO_LAST_CLOSE_%_CHG",$A$1,$A$2)</f>
        <v>-40.033329999999999</v>
      </c>
      <c r="I320" s="6">
        <f>_xll.BDP($A320,"IPO_OFFER_PX_TO_1ST_OPEN_%_CHG",$A$1,$A$2)</f>
        <v>37.533329999999999</v>
      </c>
      <c r="J320" s="6">
        <v>30</v>
      </c>
      <c r="K320" s="6">
        <v>6000000</v>
      </c>
      <c r="L320" s="7" t="s">
        <v>40</v>
      </c>
      <c r="M320" s="7" t="s">
        <v>41</v>
      </c>
      <c r="N320" s="7" t="s">
        <v>42</v>
      </c>
    </row>
    <row r="321" spans="1:14" s="4" customFormat="1" ht="13.2" x14ac:dyDescent="0.25">
      <c r="A321" s="7" t="s">
        <v>1170</v>
      </c>
      <c r="B321" s="7" t="s">
        <v>1171</v>
      </c>
      <c r="C321" s="7" t="s">
        <v>1168</v>
      </c>
      <c r="D321" s="6"/>
      <c r="E321" s="7" t="s">
        <v>1172</v>
      </c>
      <c r="F321" s="7" t="s">
        <v>1171</v>
      </c>
      <c r="G321" s="6"/>
      <c r="H321" s="6" t="str">
        <f>_xll.BDP($A321,"IPO_OFFER_PX_TO_LAST_CLOSE_%_CHG",$A$1,$A$2)</f>
        <v>#N/A N/A</v>
      </c>
      <c r="I321" s="6">
        <f>_xll.BDP($A321,"IPO_OFFER_PX_TO_1ST_OPEN_%_CHG",$A$1,$A$2)</f>
        <v>1</v>
      </c>
      <c r="J321" s="6">
        <v>10</v>
      </c>
      <c r="K321" s="6">
        <v>35000000</v>
      </c>
      <c r="L321" s="7"/>
      <c r="M321" s="7"/>
      <c r="N321" s="7"/>
    </row>
    <row r="322" spans="1:14" s="4" customFormat="1" ht="13.2" x14ac:dyDescent="0.25">
      <c r="A322" s="7" t="s">
        <v>1173</v>
      </c>
      <c r="B322" s="7" t="s">
        <v>1174</v>
      </c>
      <c r="C322" s="7" t="s">
        <v>1168</v>
      </c>
      <c r="D322" s="6"/>
      <c r="E322" s="7" t="s">
        <v>1175</v>
      </c>
      <c r="F322" s="7" t="s">
        <v>1174</v>
      </c>
      <c r="G322" s="6"/>
      <c r="H322" s="6" t="str">
        <f>_xll.BDP($A322,"IPO_OFFER_PX_TO_LAST_CLOSE_%_CHG",$A$1,$A$2)</f>
        <v>#N/A N/A</v>
      </c>
      <c r="I322" s="6">
        <f>_xll.BDP($A322,"IPO_OFFER_PX_TO_1ST_OPEN_%_CHG",$A$1,$A$2)</f>
        <v>1.2</v>
      </c>
      <c r="J322" s="6">
        <v>10</v>
      </c>
      <c r="K322" s="6">
        <v>35000000</v>
      </c>
      <c r="L322" s="7"/>
      <c r="M322" s="7"/>
      <c r="N322" s="7"/>
    </row>
    <row r="323" spans="1:14" s="4" customFormat="1" ht="13.2" x14ac:dyDescent="0.25">
      <c r="A323" s="7" t="s">
        <v>1176</v>
      </c>
      <c r="B323" s="7" t="s">
        <v>1177</v>
      </c>
      <c r="C323" s="7" t="s">
        <v>1178</v>
      </c>
      <c r="D323" s="6">
        <v>4.12</v>
      </c>
      <c r="E323" s="7" t="s">
        <v>1179</v>
      </c>
      <c r="F323" s="7" t="s">
        <v>1177</v>
      </c>
      <c r="G323" s="6">
        <v>169257868.84000006</v>
      </c>
      <c r="H323" s="6">
        <f>_xll.BDP($A323,"IPO_OFFER_PX_TO_LAST_CLOSE_%_CHG",$A$1,$A$2)</f>
        <v>-97.253330000000005</v>
      </c>
      <c r="I323" s="6">
        <f>_xll.BDP($A323,"IPO_OFFER_PX_TO_1ST_OPEN_%_CHG",$A$1,$A$2)</f>
        <v>2</v>
      </c>
      <c r="J323" s="6">
        <v>15</v>
      </c>
      <c r="K323" s="6">
        <v>6250000</v>
      </c>
      <c r="L323" s="7" t="s">
        <v>21</v>
      </c>
      <c r="M323" s="7" t="s">
        <v>22</v>
      </c>
      <c r="N323" s="7" t="s">
        <v>22</v>
      </c>
    </row>
    <row r="324" spans="1:14" s="4" customFormat="1" ht="13.2" x14ac:dyDescent="0.25">
      <c r="A324" s="7" t="s">
        <v>1180</v>
      </c>
      <c r="B324" s="7" t="s">
        <v>1181</v>
      </c>
      <c r="C324" s="7" t="s">
        <v>1178</v>
      </c>
      <c r="D324" s="6"/>
      <c r="E324" s="7" t="s">
        <v>1182</v>
      </c>
      <c r="F324" s="7" t="s">
        <v>1181</v>
      </c>
      <c r="G324" s="6"/>
      <c r="H324" s="6" t="str">
        <f>_xll.BDP($A324,"IPO_OFFER_PX_TO_LAST_CLOSE_%_CHG",$A$1,$A$2)</f>
        <v>#N/A N/A</v>
      </c>
      <c r="I324" s="6">
        <f>_xll.BDP($A324,"IPO_OFFER_PX_TO_1ST_OPEN_%_CHG",$A$1,$A$2)</f>
        <v>1</v>
      </c>
      <c r="J324" s="6">
        <v>10</v>
      </c>
      <c r="K324" s="6">
        <v>25000000</v>
      </c>
      <c r="L324" s="7"/>
      <c r="M324" s="7"/>
      <c r="N324" s="7"/>
    </row>
    <row r="325" spans="1:14" s="4" customFormat="1" ht="13.2" x14ac:dyDescent="0.25">
      <c r="A325" s="7" t="s">
        <v>1183</v>
      </c>
      <c r="B325" s="7" t="s">
        <v>1184</v>
      </c>
      <c r="C325" s="7" t="s">
        <v>1185</v>
      </c>
      <c r="D325" s="6"/>
      <c r="E325" s="7" t="s">
        <v>1186</v>
      </c>
      <c r="F325" s="7" t="s">
        <v>1184</v>
      </c>
      <c r="G325" s="6"/>
      <c r="H325" s="6" t="str">
        <f>_xll.BDP($A325,"IPO_OFFER_PX_TO_LAST_CLOSE_%_CHG",$A$1,$A$2)</f>
        <v>#N/A N/A</v>
      </c>
      <c r="I325" s="6">
        <f>_xll.BDP($A325,"IPO_OFFER_PX_TO_1ST_OPEN_%_CHG",$A$1,$A$2)</f>
        <v>0</v>
      </c>
      <c r="J325" s="6">
        <v>10</v>
      </c>
      <c r="K325" s="6">
        <v>15000000</v>
      </c>
      <c r="L325" s="7"/>
      <c r="M325" s="7"/>
      <c r="N325" s="7"/>
    </row>
    <row r="326" spans="1:14" s="4" customFormat="1" ht="13.2" x14ac:dyDescent="0.25">
      <c r="A326" s="7" t="s">
        <v>1187</v>
      </c>
      <c r="B326" s="7" t="s">
        <v>1188</v>
      </c>
      <c r="C326" s="7" t="s">
        <v>1189</v>
      </c>
      <c r="D326" s="6"/>
      <c r="E326" s="7" t="s">
        <v>1190</v>
      </c>
      <c r="F326" s="7" t="s">
        <v>1188</v>
      </c>
      <c r="G326" s="6"/>
      <c r="H326" s="6" t="str">
        <f>_xll.BDP($A326,"IPO_OFFER_PX_TO_LAST_CLOSE_%_CHG",$A$1,$A$2)</f>
        <v>#N/A N/A</v>
      </c>
      <c r="I326" s="6">
        <f>_xll.BDP($A326,"IPO_OFFER_PX_TO_1ST_OPEN_%_CHG",$A$1,$A$2)</f>
        <v>0.2</v>
      </c>
      <c r="J326" s="6">
        <v>10</v>
      </c>
      <c r="K326" s="6">
        <v>4000000</v>
      </c>
      <c r="L326" s="7"/>
      <c r="M326" s="7"/>
      <c r="N326" s="7"/>
    </row>
    <row r="327" spans="1:14" s="4" customFormat="1" ht="13.2" x14ac:dyDescent="0.25">
      <c r="A327" s="7" t="s">
        <v>1191</v>
      </c>
      <c r="B327" s="7" t="s">
        <v>1192</v>
      </c>
      <c r="C327" s="7" t="s">
        <v>1193</v>
      </c>
      <c r="D327" s="6">
        <v>6.21</v>
      </c>
      <c r="E327" s="7" t="s">
        <v>1194</v>
      </c>
      <c r="F327" s="7" t="s">
        <v>1192</v>
      </c>
      <c r="G327" s="6">
        <v>1426991770.3500001</v>
      </c>
      <c r="H327" s="6">
        <f>_xll.BDP($A327,"IPO_OFFER_PX_TO_LAST_CLOSE_%_CHG",$A$1,$A$2)</f>
        <v>-67.315790000000007</v>
      </c>
      <c r="I327" s="6">
        <f>_xll.BDP($A327,"IPO_OFFER_PX_TO_1ST_OPEN_%_CHG",$A$1,$A$2)</f>
        <v>-2.052632</v>
      </c>
      <c r="J327" s="6">
        <v>19</v>
      </c>
      <c r="K327" s="6">
        <v>30000000</v>
      </c>
      <c r="L327" s="7" t="s">
        <v>33</v>
      </c>
      <c r="M327" s="7" t="s">
        <v>1195</v>
      </c>
      <c r="N327" s="7" t="s">
        <v>1195</v>
      </c>
    </row>
    <row r="328" spans="1:14" s="4" customFormat="1" ht="13.2" x14ac:dyDescent="0.25">
      <c r="A328" s="7" t="s">
        <v>1196</v>
      </c>
      <c r="B328" s="7" t="s">
        <v>1197</v>
      </c>
      <c r="C328" s="7" t="s">
        <v>1193</v>
      </c>
      <c r="D328" s="6">
        <v>11.74</v>
      </c>
      <c r="E328" s="7" t="s">
        <v>1198</v>
      </c>
      <c r="F328" s="7" t="s">
        <v>1197</v>
      </c>
      <c r="G328" s="6">
        <v>8890414111.7199993</v>
      </c>
      <c r="H328" s="6">
        <f>_xll.BDP($A328,"IPO_OFFER_PX_TO_LAST_CLOSE_%_CHG",$A$1,$A$2)</f>
        <v>-34.77778</v>
      </c>
      <c r="I328" s="6">
        <f>_xll.BDP($A328,"IPO_OFFER_PX_TO_1ST_OPEN_%_CHG",$A$1,$A$2)</f>
        <v>18.05556</v>
      </c>
      <c r="J328" s="6">
        <v>18</v>
      </c>
      <c r="K328" s="6">
        <v>25000000</v>
      </c>
      <c r="L328" s="7" t="s">
        <v>514</v>
      </c>
      <c r="M328" s="7" t="s">
        <v>1199</v>
      </c>
      <c r="N328" s="7" t="s">
        <v>1200</v>
      </c>
    </row>
    <row r="329" spans="1:14" s="4" customFormat="1" ht="13.2" x14ac:dyDescent="0.25">
      <c r="A329" s="7" t="s">
        <v>1201</v>
      </c>
      <c r="B329" s="7" t="s">
        <v>1202</v>
      </c>
      <c r="C329" s="7" t="s">
        <v>1203</v>
      </c>
      <c r="D329" s="6">
        <v>5.46</v>
      </c>
      <c r="E329" s="7" t="s">
        <v>1204</v>
      </c>
      <c r="F329" s="7" t="s">
        <v>1202</v>
      </c>
      <c r="G329" s="6">
        <v>1563518130.72</v>
      </c>
      <c r="H329" s="6">
        <f>_xll.BDP($A329,"IPO_OFFER_PX_TO_LAST_CLOSE_%_CHG",$A$1,$A$2)</f>
        <v>-83.454539999999994</v>
      </c>
      <c r="I329" s="6">
        <f>_xll.BDP($A329,"IPO_OFFER_PX_TO_1ST_OPEN_%_CHG",$A$1,$A$2)</f>
        <v>18.181819999999998</v>
      </c>
      <c r="J329" s="6">
        <v>33</v>
      </c>
      <c r="K329" s="6">
        <v>15730000</v>
      </c>
      <c r="L329" s="7" t="s">
        <v>102</v>
      </c>
      <c r="M329" s="7" t="s">
        <v>613</v>
      </c>
      <c r="N329" s="7" t="s">
        <v>614</v>
      </c>
    </row>
    <row r="330" spans="1:14" s="4" customFormat="1" ht="13.2" x14ac:dyDescent="0.25">
      <c r="A330" s="7" t="s">
        <v>1205</v>
      </c>
      <c r="B330" s="7" t="s">
        <v>1206</v>
      </c>
      <c r="C330" s="7" t="s">
        <v>1207</v>
      </c>
      <c r="D330" s="6"/>
      <c r="E330" s="7" t="s">
        <v>1208</v>
      </c>
      <c r="F330" s="7" t="s">
        <v>1206</v>
      </c>
      <c r="G330" s="6"/>
      <c r="H330" s="6" t="str">
        <f>_xll.BDP($A330,"IPO_OFFER_PX_TO_LAST_CLOSE_%_CHG",$A$1,$A$2)</f>
        <v>#N/A N/A</v>
      </c>
      <c r="I330" s="6">
        <f>_xll.BDP($A330,"IPO_OFFER_PX_TO_1ST_OPEN_%_CHG",$A$1,$A$2)</f>
        <v>-1.8</v>
      </c>
      <c r="J330" s="6">
        <v>10</v>
      </c>
      <c r="K330" s="6">
        <v>20000000</v>
      </c>
      <c r="L330" s="7"/>
      <c r="M330" s="7"/>
      <c r="N330" s="7"/>
    </row>
    <row r="331" spans="1:14" s="4" customFormat="1" ht="13.2" x14ac:dyDescent="0.25">
      <c r="A331" s="7" t="s">
        <v>1209</v>
      </c>
      <c r="B331" s="7" t="s">
        <v>1210</v>
      </c>
      <c r="C331" s="7" t="s">
        <v>1211</v>
      </c>
      <c r="D331" s="6">
        <v>6.59</v>
      </c>
      <c r="E331" s="7" t="s">
        <v>1212</v>
      </c>
      <c r="F331" s="7" t="s">
        <v>1210</v>
      </c>
      <c r="G331" s="6">
        <v>850379175.13999999</v>
      </c>
      <c r="H331" s="6">
        <f>_xll.BDP($A331,"IPO_OFFER_PX_TO_LAST_CLOSE_%_CHG",$A$1,$A$2)</f>
        <v>-52.928570000000001</v>
      </c>
      <c r="I331" s="6">
        <f>_xll.BDP($A331,"IPO_OFFER_PX_TO_1ST_OPEN_%_CHG",$A$1,$A$2)</f>
        <v>30.357140000000001</v>
      </c>
      <c r="J331" s="6">
        <v>14</v>
      </c>
      <c r="K331" s="6">
        <v>12000000</v>
      </c>
      <c r="L331" s="7" t="s">
        <v>102</v>
      </c>
      <c r="M331" s="7" t="s">
        <v>153</v>
      </c>
      <c r="N331" s="7" t="s">
        <v>154</v>
      </c>
    </row>
    <row r="332" spans="1:14" s="4" customFormat="1" ht="13.2" x14ac:dyDescent="0.25">
      <c r="A332" s="7" t="s">
        <v>1213</v>
      </c>
      <c r="B332" s="7" t="s">
        <v>1214</v>
      </c>
      <c r="C332" s="7" t="s">
        <v>1211</v>
      </c>
      <c r="D332" s="6">
        <v>38.81</v>
      </c>
      <c r="E332" s="7" t="s">
        <v>1215</v>
      </c>
      <c r="F332" s="7" t="s">
        <v>1214</v>
      </c>
      <c r="G332" s="6">
        <v>4175684562.8599997</v>
      </c>
      <c r="H332" s="6">
        <f>_xll.BDP($A332,"IPO_OFFER_PX_TO_LAST_CLOSE_%_CHG",$A$1,$A$2)</f>
        <v>142.5625</v>
      </c>
      <c r="I332" s="6">
        <f>_xll.BDP($A332,"IPO_OFFER_PX_TO_1ST_OPEN_%_CHG",$A$1,$A$2)</f>
        <v>68.75</v>
      </c>
      <c r="J332" s="6">
        <v>16</v>
      </c>
      <c r="K332" s="6">
        <v>11000000</v>
      </c>
      <c r="L332" s="7" t="s">
        <v>21</v>
      </c>
      <c r="M332" s="7" t="s">
        <v>62</v>
      </c>
      <c r="N332" s="7" t="s">
        <v>62</v>
      </c>
    </row>
    <row r="333" spans="1:14" s="4" customFormat="1" ht="13.2" x14ac:dyDescent="0.25">
      <c r="A333" s="7" t="s">
        <v>1216</v>
      </c>
      <c r="B333" s="7" t="s">
        <v>1217</v>
      </c>
      <c r="C333" s="7" t="s">
        <v>1211</v>
      </c>
      <c r="D333" s="6">
        <v>11.87</v>
      </c>
      <c r="E333" s="7" t="s">
        <v>1218</v>
      </c>
      <c r="F333" s="7" t="s">
        <v>1217</v>
      </c>
      <c r="G333" s="6">
        <v>741364281.37999988</v>
      </c>
      <c r="H333" s="6">
        <f>_xll.BDP($A333,"IPO_OFFER_PX_TO_LAST_CLOSE_%_CHG",$A$1,$A$2)</f>
        <v>-40.65</v>
      </c>
      <c r="I333" s="6">
        <f>_xll.BDP($A333,"IPO_OFFER_PX_TO_1ST_OPEN_%_CHG",$A$1,$A$2)</f>
        <v>40</v>
      </c>
      <c r="J333" s="6">
        <v>20</v>
      </c>
      <c r="K333" s="6">
        <v>12000000</v>
      </c>
      <c r="L333" s="7" t="s">
        <v>21</v>
      </c>
      <c r="M333" s="7" t="s">
        <v>22</v>
      </c>
      <c r="N333" s="7" t="s">
        <v>22</v>
      </c>
    </row>
    <row r="334" spans="1:14" s="4" customFormat="1" ht="13.2" x14ac:dyDescent="0.25">
      <c r="A334" s="7" t="s">
        <v>1219</v>
      </c>
      <c r="B334" s="7" t="s">
        <v>1220</v>
      </c>
      <c r="C334" s="7" t="s">
        <v>1211</v>
      </c>
      <c r="D334" s="6">
        <v>5.73</v>
      </c>
      <c r="E334" s="7" t="s">
        <v>1221</v>
      </c>
      <c r="F334" s="7" t="s">
        <v>1220</v>
      </c>
      <c r="G334" s="6">
        <v>67672044.900000006</v>
      </c>
      <c r="H334" s="6">
        <f>_xll.BDP($A334,"IPO_OFFER_PX_TO_LAST_CLOSE_%_CHG",$A$1,$A$2)</f>
        <v>-97.015640000000005</v>
      </c>
      <c r="I334" s="6">
        <f>_xll.BDP($A334,"IPO_OFFER_PX_TO_1ST_OPEN_%_CHG",$A$1,$A$2)</f>
        <v>40</v>
      </c>
      <c r="J334" s="6">
        <v>16</v>
      </c>
      <c r="K334" s="6">
        <v>7812500</v>
      </c>
      <c r="L334" s="7" t="s">
        <v>21</v>
      </c>
      <c r="M334" s="7" t="s">
        <v>62</v>
      </c>
      <c r="N334" s="7" t="s">
        <v>62</v>
      </c>
    </row>
    <row r="335" spans="1:14" s="4" customFormat="1" ht="13.2" x14ac:dyDescent="0.25">
      <c r="A335" s="7" t="s">
        <v>1222</v>
      </c>
      <c r="B335" s="7" t="s">
        <v>1223</v>
      </c>
      <c r="C335" s="7" t="s">
        <v>1211</v>
      </c>
      <c r="D335" s="6">
        <v>21.1</v>
      </c>
      <c r="E335" s="7" t="s">
        <v>1224</v>
      </c>
      <c r="F335" s="7" t="s">
        <v>1223</v>
      </c>
      <c r="G335" s="6">
        <v>4362083665.3000002</v>
      </c>
      <c r="H335" s="6">
        <f>_xll.BDP($A335,"IPO_OFFER_PX_TO_LAST_CLOSE_%_CHG",$A$1,$A$2)</f>
        <v>17.22223</v>
      </c>
      <c r="I335" s="6">
        <f>_xll.BDP($A335,"IPO_OFFER_PX_TO_1ST_OPEN_%_CHG",$A$1,$A$2)</f>
        <v>5.8333329999999997</v>
      </c>
      <c r="J335" s="6">
        <v>18</v>
      </c>
      <c r="K335" s="6">
        <v>27200000</v>
      </c>
      <c r="L335" s="7" t="s">
        <v>21</v>
      </c>
      <c r="M335" s="7" t="s">
        <v>248</v>
      </c>
      <c r="N335" s="7" t="s">
        <v>1225</v>
      </c>
    </row>
    <row r="336" spans="1:14" s="4" customFormat="1" ht="13.2" x14ac:dyDescent="0.25">
      <c r="A336" s="7" t="s">
        <v>1226</v>
      </c>
      <c r="B336" s="7" t="s">
        <v>1227</v>
      </c>
      <c r="C336" s="7" t="s">
        <v>1211</v>
      </c>
      <c r="D336" s="6">
        <v>8.08</v>
      </c>
      <c r="E336" s="7" t="s">
        <v>1228</v>
      </c>
      <c r="F336" s="7" t="s">
        <v>1227</v>
      </c>
      <c r="G336" s="6"/>
      <c r="H336" s="6">
        <f>_xll.BDP($A336,"IPO_OFFER_PX_TO_LAST_CLOSE_%_CHG",$A$1,$A$2)</f>
        <v>-59.6</v>
      </c>
      <c r="I336" s="6">
        <f>_xll.BDP($A336,"IPO_OFFER_PX_TO_1ST_OPEN_%_CHG",$A$1,$A$2)</f>
        <v>0</v>
      </c>
      <c r="J336" s="6">
        <v>20</v>
      </c>
      <c r="K336" s="6">
        <v>220000000</v>
      </c>
      <c r="L336" s="7"/>
      <c r="M336" s="7"/>
      <c r="N336" s="7"/>
    </row>
    <row r="337" spans="1:14" s="4" customFormat="1" ht="13.2" x14ac:dyDescent="0.25">
      <c r="A337" s="7" t="s">
        <v>1229</v>
      </c>
      <c r="B337" s="7" t="s">
        <v>1230</v>
      </c>
      <c r="C337" s="7" t="s">
        <v>1231</v>
      </c>
      <c r="D337" s="6">
        <v>4.5999999999999996</v>
      </c>
      <c r="E337" s="7" t="s">
        <v>1232</v>
      </c>
      <c r="F337" s="7" t="s">
        <v>1230</v>
      </c>
      <c r="G337" s="6">
        <v>965533716.39999998</v>
      </c>
      <c r="H337" s="6">
        <f>_xll.BDP($A337,"IPO_OFFER_PX_TO_LAST_CLOSE_%_CHG",$A$1,$A$2)</f>
        <v>-77</v>
      </c>
      <c r="I337" s="6">
        <f>_xll.BDP($A337,"IPO_OFFER_PX_TO_1ST_OPEN_%_CHG",$A$1,$A$2)</f>
        <v>-21</v>
      </c>
      <c r="J337" s="6">
        <v>20</v>
      </c>
      <c r="K337" s="6">
        <v>15314900</v>
      </c>
      <c r="L337" s="7" t="s">
        <v>102</v>
      </c>
      <c r="M337" s="7" t="s">
        <v>604</v>
      </c>
      <c r="N337" s="7" t="s">
        <v>605</v>
      </c>
    </row>
    <row r="338" spans="1:14" s="4" customFormat="1" ht="13.2" x14ac:dyDescent="0.25">
      <c r="A338" s="7" t="s">
        <v>1233</v>
      </c>
      <c r="B338" s="7" t="s">
        <v>1234</v>
      </c>
      <c r="C338" s="7" t="s">
        <v>1231</v>
      </c>
      <c r="D338" s="6"/>
      <c r="E338" s="7" t="s">
        <v>1235</v>
      </c>
      <c r="F338" s="7" t="s">
        <v>1234</v>
      </c>
      <c r="G338" s="6"/>
      <c r="H338" s="6" t="str">
        <f>_xll.BDP($A338,"IPO_OFFER_PX_TO_LAST_CLOSE_%_CHG",$A$1,$A$2)</f>
        <v>#N/A N/A</v>
      </c>
      <c r="I338" s="6">
        <f>_xll.BDP($A338,"IPO_OFFER_PX_TO_1ST_OPEN_%_CHG",$A$1,$A$2)</f>
        <v>-17.857140000000001</v>
      </c>
      <c r="J338" s="6">
        <v>14</v>
      </c>
      <c r="K338" s="6">
        <v>10000000</v>
      </c>
      <c r="L338" s="7"/>
      <c r="M338" s="7"/>
      <c r="N338" s="7"/>
    </row>
    <row r="339" spans="1:14" s="4" customFormat="1" ht="13.2" x14ac:dyDescent="0.25">
      <c r="A339" s="7" t="s">
        <v>1236</v>
      </c>
      <c r="B339" s="7" t="s">
        <v>1237</v>
      </c>
      <c r="C339" s="7" t="s">
        <v>1231</v>
      </c>
      <c r="D339" s="6"/>
      <c r="E339" s="7" t="s">
        <v>1238</v>
      </c>
      <c r="F339" s="7" t="s">
        <v>1237</v>
      </c>
      <c r="G339" s="6"/>
      <c r="H339" s="6" t="str">
        <f>_xll.BDP($A339,"IPO_OFFER_PX_TO_LAST_CLOSE_%_CHG",$A$1,$A$2)</f>
        <v>#N/A N/A</v>
      </c>
      <c r="I339" s="6">
        <f>_xll.BDP($A339,"IPO_OFFER_PX_TO_1ST_OPEN_%_CHG",$A$1,$A$2)</f>
        <v>-10</v>
      </c>
      <c r="J339" s="6">
        <v>15</v>
      </c>
      <c r="K339" s="6">
        <v>46153800</v>
      </c>
      <c r="L339" s="7"/>
      <c r="M339" s="7"/>
      <c r="N339" s="7"/>
    </row>
    <row r="340" spans="1:14" s="4" customFormat="1" ht="13.2" x14ac:dyDescent="0.25">
      <c r="A340" s="7" t="s">
        <v>1239</v>
      </c>
      <c r="B340" s="7" t="s">
        <v>1240</v>
      </c>
      <c r="C340" s="7" t="s">
        <v>1231</v>
      </c>
      <c r="D340" s="6"/>
      <c r="E340" s="7" t="s">
        <v>1241</v>
      </c>
      <c r="F340" s="7" t="s">
        <v>1240</v>
      </c>
      <c r="G340" s="6"/>
      <c r="H340" s="6" t="str">
        <f>_xll.BDP($A340,"IPO_OFFER_PX_TO_LAST_CLOSE_%_CHG",$A$1,$A$2)</f>
        <v>#N/A N/A</v>
      </c>
      <c r="I340" s="6">
        <f>_xll.BDP($A340,"IPO_OFFER_PX_TO_1ST_OPEN_%_CHG",$A$1,$A$2)</f>
        <v>-16.66667</v>
      </c>
      <c r="J340" s="6">
        <v>21</v>
      </c>
      <c r="K340" s="6">
        <v>12250000</v>
      </c>
      <c r="L340" s="7"/>
      <c r="M340" s="7"/>
      <c r="N340" s="7"/>
    </row>
    <row r="341" spans="1:14" s="4" customFormat="1" ht="13.2" x14ac:dyDescent="0.25">
      <c r="A341" s="7" t="s">
        <v>1242</v>
      </c>
      <c r="B341" s="7" t="s">
        <v>1243</v>
      </c>
      <c r="C341" s="7" t="s">
        <v>1231</v>
      </c>
      <c r="D341" s="6"/>
      <c r="E341" s="7" t="s">
        <v>1244</v>
      </c>
      <c r="F341" s="7" t="s">
        <v>1243</v>
      </c>
      <c r="G341" s="6"/>
      <c r="H341" s="6" t="str">
        <f>_xll.BDP($A341,"IPO_OFFER_PX_TO_LAST_CLOSE_%_CHG",$A$1,$A$2)</f>
        <v>#N/A N/A</v>
      </c>
      <c r="I341" s="6" t="str">
        <f>_xll.BDP($A341,"IPO_OFFER_PX_TO_1ST_OPEN_%_CHG",$A$1,$A$2)</f>
        <v>#N/A N/A</v>
      </c>
      <c r="J341" s="6">
        <v>10</v>
      </c>
      <c r="K341" s="6">
        <v>12640000</v>
      </c>
      <c r="L341" s="7"/>
      <c r="M341" s="7"/>
      <c r="N341" s="7"/>
    </row>
    <row r="342" spans="1:14" s="4" customFormat="1" ht="13.2" x14ac:dyDescent="0.25">
      <c r="A342" s="7" t="s">
        <v>1245</v>
      </c>
      <c r="B342" s="7" t="s">
        <v>1246</v>
      </c>
      <c r="C342" s="7" t="s">
        <v>1247</v>
      </c>
      <c r="D342" s="6">
        <v>7.41</v>
      </c>
      <c r="E342" s="7" t="s">
        <v>1248</v>
      </c>
      <c r="F342" s="7" t="s">
        <v>1246</v>
      </c>
      <c r="G342" s="6">
        <v>1293674064.54</v>
      </c>
      <c r="H342" s="6">
        <f>_xll.BDP($A342,"IPO_OFFER_PX_TO_LAST_CLOSE_%_CHG",$A$1,$A$2)</f>
        <v>-70.36</v>
      </c>
      <c r="I342" s="6">
        <f>_xll.BDP($A342,"IPO_OFFER_PX_TO_1ST_OPEN_%_CHG",$A$1,$A$2)</f>
        <v>28</v>
      </c>
      <c r="J342" s="6">
        <v>25</v>
      </c>
      <c r="K342" s="6">
        <v>16550000</v>
      </c>
      <c r="L342" s="7" t="s">
        <v>33</v>
      </c>
      <c r="M342" s="7" t="s">
        <v>1015</v>
      </c>
      <c r="N342" s="7" t="s">
        <v>1249</v>
      </c>
    </row>
    <row r="343" spans="1:14" s="4" customFormat="1" ht="13.2" x14ac:dyDescent="0.25">
      <c r="A343" s="7" t="s">
        <v>1250</v>
      </c>
      <c r="B343" s="7" t="s">
        <v>1251</v>
      </c>
      <c r="C343" s="7" t="s">
        <v>1247</v>
      </c>
      <c r="D343" s="6">
        <v>2.4300000000000002</v>
      </c>
      <c r="E343" s="7" t="s">
        <v>1252</v>
      </c>
      <c r="F343" s="7" t="s">
        <v>1251</v>
      </c>
      <c r="G343" s="6">
        <v>926772171.75000012</v>
      </c>
      <c r="H343" s="6">
        <f>_xll.BDP($A343,"IPO_OFFER_PX_TO_LAST_CLOSE_%_CHG",$A$1,$A$2)</f>
        <v>-75.7</v>
      </c>
      <c r="I343" s="6">
        <f>_xll.BDP($A343,"IPO_OFFER_PX_TO_1ST_OPEN_%_CHG",$A$1,$A$2)</f>
        <v>0</v>
      </c>
      <c r="J343" s="6">
        <v>10</v>
      </c>
      <c r="K343" s="6">
        <v>40000000</v>
      </c>
      <c r="L343" s="7" t="s">
        <v>174</v>
      </c>
      <c r="M343" s="7" t="s">
        <v>175</v>
      </c>
      <c r="N343" s="7" t="s">
        <v>175</v>
      </c>
    </row>
    <row r="344" spans="1:14" s="4" customFormat="1" ht="13.2" x14ac:dyDescent="0.25">
      <c r="A344" s="7" t="s">
        <v>1253</v>
      </c>
      <c r="B344" s="7" t="s">
        <v>1254</v>
      </c>
      <c r="C344" s="7" t="s">
        <v>1247</v>
      </c>
      <c r="D344" s="6"/>
      <c r="E344" s="7" t="s">
        <v>1255</v>
      </c>
      <c r="F344" s="7" t="s">
        <v>1254</v>
      </c>
      <c r="G344" s="6"/>
      <c r="H344" s="6" t="str">
        <f>_xll.BDP($A344,"IPO_OFFER_PX_TO_LAST_CLOSE_%_CHG",$A$1,$A$2)</f>
        <v>#N/A N/A</v>
      </c>
      <c r="I344" s="6">
        <f>_xll.BDP($A344,"IPO_OFFER_PX_TO_1ST_OPEN_%_CHG",$A$1,$A$2)</f>
        <v>-2</v>
      </c>
      <c r="J344" s="6">
        <v>10</v>
      </c>
      <c r="K344" s="6">
        <v>50000000</v>
      </c>
      <c r="L344" s="7"/>
      <c r="M344" s="7"/>
      <c r="N344" s="7"/>
    </row>
    <row r="345" spans="1:14" s="4" customFormat="1" ht="13.2" x14ac:dyDescent="0.25">
      <c r="A345" s="7" t="s">
        <v>1256</v>
      </c>
      <c r="B345" s="7" t="s">
        <v>1257</v>
      </c>
      <c r="C345" s="7" t="s">
        <v>1247</v>
      </c>
      <c r="D345" s="6">
        <v>119.09</v>
      </c>
      <c r="E345" s="7" t="s">
        <v>1258</v>
      </c>
      <c r="F345" s="7" t="s">
        <v>1257</v>
      </c>
      <c r="G345" s="6">
        <v>13917644465.810001</v>
      </c>
      <c r="H345" s="6">
        <f>_xll.BDP($A345,"IPO_OFFER_PX_TO_LAST_CLOSE_%_CHG",$A$1,$A$2)</f>
        <v>153.38300000000001</v>
      </c>
      <c r="I345" s="6">
        <f>_xll.BDP($A345,"IPO_OFFER_PX_TO_1ST_OPEN_%_CHG",$A$1,$A$2)</f>
        <v>-11.70213</v>
      </c>
      <c r="J345" s="6">
        <v>47</v>
      </c>
      <c r="K345" s="6">
        <v>16500000</v>
      </c>
      <c r="L345" s="7" t="s">
        <v>40</v>
      </c>
      <c r="M345" s="7" t="s">
        <v>136</v>
      </c>
      <c r="N345" s="7" t="s">
        <v>137</v>
      </c>
    </row>
    <row r="346" spans="1:14" s="4" customFormat="1" ht="13.2" x14ac:dyDescent="0.25">
      <c r="A346" s="7" t="s">
        <v>1259</v>
      </c>
      <c r="B346" s="7" t="s">
        <v>1260</v>
      </c>
      <c r="C346" s="7" t="s">
        <v>1261</v>
      </c>
      <c r="D346" s="6">
        <v>12.7</v>
      </c>
      <c r="E346" s="7" t="s">
        <v>1262</v>
      </c>
      <c r="F346" s="7" t="s">
        <v>1260</v>
      </c>
      <c r="G346" s="6">
        <v>718372261.49999988</v>
      </c>
      <c r="H346" s="6">
        <f>_xll.BDP($A346,"IPO_OFFER_PX_TO_LAST_CLOSE_%_CHG",$A$1,$A$2)</f>
        <v>-97.70044</v>
      </c>
      <c r="I346" s="6">
        <f>_xll.BDP($A346,"IPO_OFFER_PX_TO_1ST_OPEN_%_CHG",$A$1,$A$2)</f>
        <v>20</v>
      </c>
      <c r="J346" s="6">
        <v>5</v>
      </c>
      <c r="K346" s="6">
        <v>8500000</v>
      </c>
      <c r="L346" s="7" t="s">
        <v>40</v>
      </c>
      <c r="M346" s="7" t="s">
        <v>1263</v>
      </c>
      <c r="N346" s="7" t="s">
        <v>1263</v>
      </c>
    </row>
    <row r="347" spans="1:14" s="4" customFormat="1" ht="13.2" x14ac:dyDescent="0.25">
      <c r="A347" s="7" t="s">
        <v>1264</v>
      </c>
      <c r="B347" s="7" t="s">
        <v>1265</v>
      </c>
      <c r="C347" s="7" t="s">
        <v>1261</v>
      </c>
      <c r="D347" s="6"/>
      <c r="E347" s="7" t="s">
        <v>1266</v>
      </c>
      <c r="F347" s="7" t="s">
        <v>1265</v>
      </c>
      <c r="G347" s="6"/>
      <c r="H347" s="6" t="str">
        <f>_xll.BDP($A347,"IPO_OFFER_PX_TO_LAST_CLOSE_%_CHG",$A$1,$A$2)</f>
        <v>#N/A N/A</v>
      </c>
      <c r="I347" s="6">
        <f>_xll.BDP($A347,"IPO_OFFER_PX_TO_1ST_OPEN_%_CHG",$A$1,$A$2)</f>
        <v>-0.5</v>
      </c>
      <c r="J347" s="6">
        <v>10</v>
      </c>
      <c r="K347" s="6">
        <v>20000000</v>
      </c>
      <c r="L347" s="7"/>
      <c r="M347" s="7"/>
      <c r="N347" s="7"/>
    </row>
    <row r="348" spans="1:14" s="4" customFormat="1" ht="13.2" x14ac:dyDescent="0.25">
      <c r="A348" s="7" t="s">
        <v>1267</v>
      </c>
      <c r="B348" s="7" t="s">
        <v>1268</v>
      </c>
      <c r="C348" s="7" t="s">
        <v>1261</v>
      </c>
      <c r="D348" s="6"/>
      <c r="E348" s="7" t="s">
        <v>1269</v>
      </c>
      <c r="F348" s="7" t="s">
        <v>1268</v>
      </c>
      <c r="G348" s="6"/>
      <c r="H348" s="6" t="str">
        <f>_xll.BDP($A348,"IPO_OFFER_PX_TO_LAST_CLOSE_%_CHG",$A$1,$A$2)</f>
        <v>#N/A N/A</v>
      </c>
      <c r="I348" s="6">
        <f>_xll.BDP($A348,"IPO_OFFER_PX_TO_1ST_OPEN_%_CHG",$A$1,$A$2)</f>
        <v>0.2</v>
      </c>
      <c r="J348" s="6">
        <v>10</v>
      </c>
      <c r="K348" s="6">
        <v>40000000</v>
      </c>
      <c r="L348" s="7"/>
      <c r="M348" s="7"/>
      <c r="N348" s="7"/>
    </row>
    <row r="349" spans="1:14" s="4" customFormat="1" ht="13.2" x14ac:dyDescent="0.25">
      <c r="A349" s="7" t="s">
        <v>1270</v>
      </c>
      <c r="B349" s="7" t="s">
        <v>1271</v>
      </c>
      <c r="C349" s="7" t="s">
        <v>1272</v>
      </c>
      <c r="D349" s="6">
        <v>21.22</v>
      </c>
      <c r="E349" s="7" t="s">
        <v>1273</v>
      </c>
      <c r="F349" s="7" t="s">
        <v>1271</v>
      </c>
      <c r="G349" s="6">
        <v>362706966.67999995</v>
      </c>
      <c r="H349" s="6" t="str">
        <f>_xll.BDP($A349,"IPO_OFFER_PX_TO_LAST_CLOSE_%_CHG",$A$1,$A$2)</f>
        <v>#N/A N/A</v>
      </c>
      <c r="I349" s="6" t="str">
        <f>_xll.BDP($A349,"IPO_OFFER_PX_TO_1ST_OPEN_%_CHG",$A$1,$A$2)</f>
        <v>#N/A N/A</v>
      </c>
      <c r="J349" s="6">
        <v>0.03</v>
      </c>
      <c r="K349" s="6">
        <v>14003000</v>
      </c>
      <c r="L349" s="7" t="s">
        <v>102</v>
      </c>
      <c r="M349" s="7" t="s">
        <v>1274</v>
      </c>
      <c r="N349" s="7" t="s">
        <v>1275</v>
      </c>
    </row>
    <row r="350" spans="1:14" s="4" customFormat="1" ht="13.2" x14ac:dyDescent="0.25">
      <c r="A350" s="7" t="s">
        <v>1276</v>
      </c>
      <c r="B350" s="7" t="s">
        <v>1277</v>
      </c>
      <c r="C350" s="7" t="s">
        <v>1278</v>
      </c>
      <c r="D350" s="6">
        <v>10</v>
      </c>
      <c r="E350" s="7" t="s">
        <v>1279</v>
      </c>
      <c r="F350" s="7" t="s">
        <v>1277</v>
      </c>
      <c r="G350" s="6">
        <v>16057630</v>
      </c>
      <c r="H350" s="6">
        <f>_xll.BDP($A350,"IPO_OFFER_PX_TO_LAST_CLOSE_%_CHG",$A$1,$A$2)</f>
        <v>-98.039240000000007</v>
      </c>
      <c r="I350" s="6">
        <f>_xll.BDP($A350,"IPO_OFFER_PX_TO_1ST_OPEN_%_CHG",$A$1,$A$2)</f>
        <v>20.294119999999999</v>
      </c>
      <c r="J350" s="6">
        <v>17</v>
      </c>
      <c r="K350" s="6">
        <v>7500000</v>
      </c>
      <c r="L350" s="7" t="s">
        <v>21</v>
      </c>
      <c r="M350" s="7" t="s">
        <v>22</v>
      </c>
      <c r="N350" s="7" t="s">
        <v>22</v>
      </c>
    </row>
    <row r="351" spans="1:14" s="4" customFormat="1" ht="13.2" x14ac:dyDescent="0.25">
      <c r="A351" s="7" t="s">
        <v>1280</v>
      </c>
      <c r="B351" s="7" t="s">
        <v>1281</v>
      </c>
      <c r="C351" s="7" t="s">
        <v>1278</v>
      </c>
      <c r="D351" s="6">
        <v>2.73</v>
      </c>
      <c r="E351" s="7" t="s">
        <v>1282</v>
      </c>
      <c r="F351" s="7" t="s">
        <v>1281</v>
      </c>
      <c r="G351" s="6">
        <v>62268744.719999999</v>
      </c>
      <c r="H351" s="6">
        <f>_xll.BDP($A351,"IPO_OFFER_PX_TO_LAST_CLOSE_%_CHG",$A$1,$A$2)</f>
        <v>-85.63158</v>
      </c>
      <c r="I351" s="6">
        <f>_xll.BDP($A351,"IPO_OFFER_PX_TO_1ST_OPEN_%_CHG",$A$1,$A$2)</f>
        <v>10.52632</v>
      </c>
      <c r="J351" s="6">
        <v>19</v>
      </c>
      <c r="K351" s="6">
        <v>6250000</v>
      </c>
      <c r="L351" s="7" t="s">
        <v>66</v>
      </c>
      <c r="M351" s="7" t="s">
        <v>116</v>
      </c>
      <c r="N351" s="7" t="s">
        <v>117</v>
      </c>
    </row>
    <row r="352" spans="1:14" s="4" customFormat="1" ht="13.2" x14ac:dyDescent="0.25">
      <c r="A352" s="7" t="s">
        <v>1283</v>
      </c>
      <c r="B352" s="7" t="s">
        <v>1284</v>
      </c>
      <c r="C352" s="7" t="s">
        <v>1278</v>
      </c>
      <c r="D352" s="6"/>
      <c r="E352" s="7" t="s">
        <v>1285</v>
      </c>
      <c r="F352" s="7" t="s">
        <v>1284</v>
      </c>
      <c r="G352" s="6"/>
      <c r="H352" s="6" t="str">
        <f>_xll.BDP($A352,"IPO_OFFER_PX_TO_LAST_CLOSE_%_CHG",$A$1,$A$2)</f>
        <v>#N/A N/A</v>
      </c>
      <c r="I352" s="6">
        <f>_xll.BDP($A352,"IPO_OFFER_PX_TO_1ST_OPEN_%_CHG",$A$1,$A$2)</f>
        <v>0.2</v>
      </c>
      <c r="J352" s="6">
        <v>10</v>
      </c>
      <c r="K352" s="6">
        <v>20000000</v>
      </c>
      <c r="L352" s="7"/>
      <c r="M352" s="7"/>
      <c r="N352" s="7"/>
    </row>
    <row r="353" spans="1:14" s="4" customFormat="1" ht="13.2" x14ac:dyDescent="0.25">
      <c r="A353" s="7" t="s">
        <v>1286</v>
      </c>
      <c r="B353" s="7" t="s">
        <v>1287</v>
      </c>
      <c r="C353" s="7" t="s">
        <v>1278</v>
      </c>
      <c r="D353" s="6">
        <v>7.25</v>
      </c>
      <c r="E353" s="7" t="s">
        <v>1288</v>
      </c>
      <c r="F353" s="7" t="s">
        <v>1287</v>
      </c>
      <c r="G353" s="6">
        <v>49169326</v>
      </c>
      <c r="H353" s="6">
        <f>_xll.BDP($A353,"IPO_OFFER_PX_TO_LAST_CLOSE_%_CHG",$A$1,$A$2)</f>
        <v>-98.1875</v>
      </c>
      <c r="I353" s="6">
        <f>_xll.BDP($A353,"IPO_OFFER_PX_TO_1ST_OPEN_%_CHG",$A$1,$A$2)</f>
        <v>35</v>
      </c>
      <c r="J353" s="6">
        <v>20</v>
      </c>
      <c r="K353" s="6">
        <v>16000000</v>
      </c>
      <c r="L353" s="7" t="s">
        <v>21</v>
      </c>
      <c r="M353" s="7" t="s">
        <v>22</v>
      </c>
      <c r="N353" s="7" t="s">
        <v>22</v>
      </c>
    </row>
    <row r="354" spans="1:14" s="4" customFormat="1" ht="13.2" x14ac:dyDescent="0.25">
      <c r="A354" s="7" t="s">
        <v>1289</v>
      </c>
      <c r="B354" s="7" t="s">
        <v>1290</v>
      </c>
      <c r="C354" s="7" t="s">
        <v>1278</v>
      </c>
      <c r="D354" s="6">
        <v>2.2000000000000002</v>
      </c>
      <c r="E354" s="7" t="s">
        <v>1291</v>
      </c>
      <c r="F354" s="7" t="s">
        <v>1290</v>
      </c>
      <c r="G354" s="6">
        <v>138520476.60000002</v>
      </c>
      <c r="H354" s="6" t="str">
        <f>_xll.BDP($A354,"IPO_OFFER_PX_TO_LAST_CLOSE_%_CHG",$A$1,$A$2)</f>
        <v>#N/A N/A</v>
      </c>
      <c r="I354" s="6" t="str">
        <f>_xll.BDP($A354,"IPO_OFFER_PX_TO_1ST_OPEN_%_CHG",$A$1,$A$2)</f>
        <v>#N/A N/A</v>
      </c>
      <c r="J354" s="6">
        <v>17</v>
      </c>
      <c r="K354" s="6">
        <v>11250000</v>
      </c>
      <c r="L354" s="7" t="s">
        <v>21</v>
      </c>
      <c r="M354" s="7" t="s">
        <v>22</v>
      </c>
      <c r="N354" s="7" t="s">
        <v>22</v>
      </c>
    </row>
    <row r="355" spans="1:14" s="4" customFormat="1" ht="13.2" x14ac:dyDescent="0.25">
      <c r="A355" s="7" t="s">
        <v>1292</v>
      </c>
      <c r="B355" s="7" t="s">
        <v>1293</v>
      </c>
      <c r="C355" s="7" t="s">
        <v>1294</v>
      </c>
      <c r="D355" s="6">
        <v>1.63</v>
      </c>
      <c r="E355" s="7" t="s">
        <v>1295</v>
      </c>
      <c r="F355" s="7" t="s">
        <v>1293</v>
      </c>
      <c r="G355" s="6">
        <v>69526081.939999998</v>
      </c>
      <c r="H355" s="6">
        <f>_xll.BDP($A355,"IPO_OFFER_PX_TO_LAST_CLOSE_%_CHG",$A$1,$A$2)</f>
        <v>-85.181820000000002</v>
      </c>
      <c r="I355" s="6">
        <f>_xll.BDP($A355,"IPO_OFFER_PX_TO_1ST_OPEN_%_CHG",$A$1,$A$2)</f>
        <v>2</v>
      </c>
      <c r="J355" s="6">
        <v>11</v>
      </c>
      <c r="K355" s="6">
        <v>3636400</v>
      </c>
      <c r="L355" s="7" t="s">
        <v>21</v>
      </c>
      <c r="M355" s="7" t="s">
        <v>22</v>
      </c>
      <c r="N355" s="7" t="s">
        <v>22</v>
      </c>
    </row>
    <row r="356" spans="1:14" s="4" customFormat="1" ht="13.2" x14ac:dyDescent="0.25">
      <c r="A356" s="7" t="s">
        <v>1296</v>
      </c>
      <c r="B356" s="7" t="s">
        <v>1297</v>
      </c>
      <c r="C356" s="7" t="s">
        <v>1294</v>
      </c>
      <c r="D356" s="6"/>
      <c r="E356" s="7" t="s">
        <v>1298</v>
      </c>
      <c r="F356" s="7" t="s">
        <v>1297</v>
      </c>
      <c r="G356" s="6"/>
      <c r="H356" s="6" t="str">
        <f>_xll.BDP($A356,"IPO_OFFER_PX_TO_LAST_CLOSE_%_CHG",$A$1,$A$2)</f>
        <v>#N/A N/A</v>
      </c>
      <c r="I356" s="6">
        <f>_xll.BDP($A356,"IPO_OFFER_PX_TO_1ST_OPEN_%_CHG",$A$1,$A$2)</f>
        <v>-1.785714</v>
      </c>
      <c r="J356" s="6">
        <v>14</v>
      </c>
      <c r="K356" s="6">
        <v>21500000</v>
      </c>
      <c r="L356" s="7"/>
      <c r="M356" s="7"/>
      <c r="N356" s="7"/>
    </row>
    <row r="357" spans="1:14" s="4" customFormat="1" ht="13.2" x14ac:dyDescent="0.25">
      <c r="A357" s="7" t="s">
        <v>1299</v>
      </c>
      <c r="B357" s="7" t="s">
        <v>1300</v>
      </c>
      <c r="C357" s="7" t="s">
        <v>1294</v>
      </c>
      <c r="D357" s="6"/>
      <c r="E357" s="7" t="s">
        <v>1301</v>
      </c>
      <c r="F357" s="7" t="s">
        <v>1300</v>
      </c>
      <c r="G357" s="6"/>
      <c r="H357" s="6" t="str">
        <f>_xll.BDP($A357,"IPO_OFFER_PX_TO_LAST_CLOSE_%_CHG",$A$1,$A$2)</f>
        <v>#N/A N/A</v>
      </c>
      <c r="I357" s="6">
        <f>_xll.BDP($A357,"IPO_OFFER_PX_TO_1ST_OPEN_%_CHG",$A$1,$A$2)</f>
        <v>24</v>
      </c>
      <c r="J357" s="6">
        <v>15</v>
      </c>
      <c r="K357" s="6">
        <v>20000000</v>
      </c>
      <c r="L357" s="7"/>
      <c r="M357" s="7"/>
      <c r="N357" s="7"/>
    </row>
    <row r="358" spans="1:14" s="4" customFormat="1" ht="13.2" x14ac:dyDescent="0.25">
      <c r="A358" s="7" t="s">
        <v>1302</v>
      </c>
      <c r="B358" s="7" t="s">
        <v>1303</v>
      </c>
      <c r="C358" s="7" t="s">
        <v>1294</v>
      </c>
      <c r="D358" s="6"/>
      <c r="E358" s="7" t="s">
        <v>1304</v>
      </c>
      <c r="F358" s="7" t="s">
        <v>1303</v>
      </c>
      <c r="G358" s="6"/>
      <c r="H358" s="6" t="str">
        <f>_xll.BDP($A358,"IPO_OFFER_PX_TO_LAST_CLOSE_%_CHG",$A$1,$A$2)</f>
        <v>#N/A N/A</v>
      </c>
      <c r="I358" s="6">
        <f>_xll.BDP($A358,"IPO_OFFER_PX_TO_1ST_OPEN_%_CHG",$A$1,$A$2)</f>
        <v>1.5</v>
      </c>
      <c r="J358" s="6">
        <v>10</v>
      </c>
      <c r="K358" s="6">
        <v>50000000</v>
      </c>
      <c r="L358" s="7"/>
      <c r="M358" s="7"/>
      <c r="N358" s="7"/>
    </row>
    <row r="359" spans="1:14" s="4" customFormat="1" ht="13.2" x14ac:dyDescent="0.25">
      <c r="A359" s="7" t="s">
        <v>1305</v>
      </c>
      <c r="B359" s="7" t="s">
        <v>1306</v>
      </c>
      <c r="C359" s="7" t="s">
        <v>1307</v>
      </c>
      <c r="D359" s="6"/>
      <c r="E359" s="7" t="s">
        <v>1308</v>
      </c>
      <c r="F359" s="7" t="s">
        <v>1306</v>
      </c>
      <c r="G359" s="6"/>
      <c r="H359" s="6" t="str">
        <f>_xll.BDP($A359,"IPO_OFFER_PX_TO_LAST_CLOSE_%_CHG",$A$1,$A$2)</f>
        <v>#N/A N/A</v>
      </c>
      <c r="I359" s="6">
        <f>_xll.BDP($A359,"IPO_OFFER_PX_TO_1ST_OPEN_%_CHG",$A$1,$A$2)</f>
        <v>37.5</v>
      </c>
      <c r="J359" s="6">
        <v>24</v>
      </c>
      <c r="K359" s="6">
        <v>9090900</v>
      </c>
      <c r="L359" s="7"/>
      <c r="M359" s="7"/>
      <c r="N359" s="7"/>
    </row>
    <row r="360" spans="1:14" s="4" customFormat="1" ht="13.2" x14ac:dyDescent="0.25">
      <c r="A360" s="7" t="s">
        <v>1309</v>
      </c>
      <c r="B360" s="7" t="s">
        <v>1310</v>
      </c>
      <c r="C360" s="7" t="s">
        <v>1307</v>
      </c>
      <c r="D360" s="6"/>
      <c r="E360" s="7" t="s">
        <v>1311</v>
      </c>
      <c r="F360" s="7" t="s">
        <v>1310</v>
      </c>
      <c r="G360" s="6"/>
      <c r="H360" s="6" t="str">
        <f>_xll.BDP($A360,"IPO_OFFER_PX_TO_LAST_CLOSE_%_CHG",$A$1,$A$2)</f>
        <v>#N/A N/A</v>
      </c>
      <c r="I360" s="6">
        <f>_xll.BDP($A360,"IPO_OFFER_PX_TO_1ST_OPEN_%_CHG",$A$1,$A$2)</f>
        <v>28</v>
      </c>
      <c r="J360" s="6">
        <v>25</v>
      </c>
      <c r="K360" s="6">
        <v>18000000</v>
      </c>
      <c r="L360" s="7"/>
      <c r="M360" s="7"/>
      <c r="N360" s="7"/>
    </row>
    <row r="361" spans="1:14" s="4" customFormat="1" ht="13.2" x14ac:dyDescent="0.25">
      <c r="A361" s="7" t="s">
        <v>1312</v>
      </c>
      <c r="B361" s="7" t="s">
        <v>1313</v>
      </c>
      <c r="C361" s="7" t="s">
        <v>1307</v>
      </c>
      <c r="D361" s="6"/>
      <c r="E361" s="7" t="s">
        <v>1314</v>
      </c>
      <c r="F361" s="7" t="s">
        <v>1313</v>
      </c>
      <c r="G361" s="6"/>
      <c r="H361" s="6" t="str">
        <f>_xll.BDP($A361,"IPO_OFFER_PX_TO_LAST_CLOSE_%_CHG",$A$1,$A$2)</f>
        <v>#N/A N/A</v>
      </c>
      <c r="I361" s="6">
        <f>_xll.BDP($A361,"IPO_OFFER_PX_TO_1ST_OPEN_%_CHG",$A$1,$A$2)</f>
        <v>-0.5</v>
      </c>
      <c r="J361" s="6">
        <v>10</v>
      </c>
      <c r="K361" s="6">
        <v>17500000</v>
      </c>
      <c r="L361" s="7"/>
      <c r="M361" s="7"/>
      <c r="N361" s="7"/>
    </row>
    <row r="362" spans="1:14" s="4" customFormat="1" ht="13.2" x14ac:dyDescent="0.25">
      <c r="A362" s="7" t="s">
        <v>1315</v>
      </c>
      <c r="B362" s="7" t="s">
        <v>1316</v>
      </c>
      <c r="C362" s="7" t="s">
        <v>1317</v>
      </c>
      <c r="D362" s="6">
        <v>1317</v>
      </c>
      <c r="E362" s="7" t="s">
        <v>1318</v>
      </c>
      <c r="F362" s="7" t="s">
        <v>1316</v>
      </c>
      <c r="G362" s="6">
        <v>45056993280</v>
      </c>
      <c r="H362" s="6">
        <f>_xll.BDP($A362,"IPO_OFFER_PX_TO_LAST_CLOSE_%_CHG",$A$1,$A$2)</f>
        <v>-95.914609999999996</v>
      </c>
      <c r="I362" s="6">
        <f>_xll.BDP($A362,"IPO_OFFER_PX_TO_1ST_OPEN_%_CHG",$A$1,$A$2)</f>
        <v>100</v>
      </c>
      <c r="J362" s="6">
        <v>7500</v>
      </c>
      <c r="K362" s="6">
        <v>15000000</v>
      </c>
      <c r="L362" s="7" t="s">
        <v>21</v>
      </c>
      <c r="M362" s="7" t="s">
        <v>22</v>
      </c>
      <c r="N362" s="7" t="s">
        <v>22</v>
      </c>
    </row>
    <row r="363" spans="1:14" s="4" customFormat="1" ht="13.2" x14ac:dyDescent="0.25">
      <c r="A363" s="7" t="s">
        <v>1319</v>
      </c>
      <c r="B363" s="7" t="s">
        <v>1320</v>
      </c>
      <c r="C363" s="7" t="s">
        <v>1321</v>
      </c>
      <c r="D363" s="6"/>
      <c r="E363" s="7" t="s">
        <v>1322</v>
      </c>
      <c r="F363" s="7" t="s">
        <v>1320</v>
      </c>
      <c r="G363" s="6"/>
      <c r="H363" s="6" t="str">
        <f>_xll.BDP($A363,"IPO_OFFER_PX_TO_LAST_CLOSE_%_CHG",$A$1,$A$2)</f>
        <v>#N/A N/A</v>
      </c>
      <c r="I363" s="6">
        <f>_xll.BDP($A363,"IPO_OFFER_PX_TO_1ST_OPEN_%_CHG",$A$1,$A$2)</f>
        <v>31.31579</v>
      </c>
      <c r="J363" s="6">
        <v>19</v>
      </c>
      <c r="K363" s="6">
        <v>10000000</v>
      </c>
      <c r="L363" s="7"/>
      <c r="M363" s="7"/>
      <c r="N363" s="7"/>
    </row>
    <row r="364" spans="1:14" s="4" customFormat="1" ht="13.2" x14ac:dyDescent="0.25">
      <c r="A364" s="7" t="s">
        <v>1323</v>
      </c>
      <c r="B364" s="7" t="s">
        <v>1324</v>
      </c>
      <c r="C364" s="7" t="s">
        <v>1321</v>
      </c>
      <c r="D364" s="6"/>
      <c r="E364" s="7" t="s">
        <v>1325</v>
      </c>
      <c r="F364" s="7" t="s">
        <v>1324</v>
      </c>
      <c r="G364" s="6"/>
      <c r="H364" s="6" t="str">
        <f>_xll.BDP($A364,"IPO_OFFER_PX_TO_LAST_CLOSE_%_CHG",$A$1,$A$2)</f>
        <v>#N/A N/A</v>
      </c>
      <c r="I364" s="6">
        <f>_xll.BDP($A364,"IPO_OFFER_PX_TO_1ST_OPEN_%_CHG",$A$1,$A$2)</f>
        <v>0</v>
      </c>
      <c r="J364" s="6">
        <v>16</v>
      </c>
      <c r="K364" s="6">
        <v>5000000</v>
      </c>
      <c r="L364" s="7"/>
      <c r="M364" s="7"/>
      <c r="N364" s="7"/>
    </row>
    <row r="365" spans="1:14" s="4" customFormat="1" ht="13.2" x14ac:dyDescent="0.25">
      <c r="A365" s="7" t="s">
        <v>1326</v>
      </c>
      <c r="B365" s="7" t="s">
        <v>1327</v>
      </c>
      <c r="C365" s="7" t="s">
        <v>1321</v>
      </c>
      <c r="D365" s="6"/>
      <c r="E365" s="7" t="s">
        <v>1328</v>
      </c>
      <c r="F365" s="7" t="s">
        <v>1327</v>
      </c>
      <c r="G365" s="6"/>
      <c r="H365" s="6" t="str">
        <f>_xll.BDP($A365,"IPO_OFFER_PX_TO_LAST_CLOSE_%_CHG",$A$1,$A$2)</f>
        <v>#N/A N/A</v>
      </c>
      <c r="I365" s="6">
        <f>_xll.BDP($A365,"IPO_OFFER_PX_TO_1ST_OPEN_%_CHG",$A$1,$A$2)</f>
        <v>-2.0833330000000001</v>
      </c>
      <c r="J365" s="6">
        <v>12</v>
      </c>
      <c r="K365" s="6">
        <v>10937500</v>
      </c>
      <c r="L365" s="7"/>
      <c r="M365" s="7"/>
      <c r="N365" s="7"/>
    </row>
    <row r="366" spans="1:14" s="4" customFormat="1" ht="13.2" x14ac:dyDescent="0.25">
      <c r="A366" s="7" t="s">
        <v>1329</v>
      </c>
      <c r="B366" s="7" t="s">
        <v>1330</v>
      </c>
      <c r="C366" s="7" t="s">
        <v>1321</v>
      </c>
      <c r="D366" s="6">
        <v>14.07</v>
      </c>
      <c r="E366" s="7" t="s">
        <v>1331</v>
      </c>
      <c r="F366" s="7" t="s">
        <v>1330</v>
      </c>
      <c r="G366" s="6">
        <v>3052669297.4399996</v>
      </c>
      <c r="H366" s="6">
        <f>_xll.BDP($A366,"IPO_OFFER_PX_TO_LAST_CLOSE_%_CHG",$A$1,$A$2)</f>
        <v>-17.235299999999999</v>
      </c>
      <c r="I366" s="6">
        <f>_xll.BDP($A366,"IPO_OFFER_PX_TO_1ST_OPEN_%_CHG",$A$1,$A$2)</f>
        <v>0</v>
      </c>
      <c r="J366" s="6">
        <v>17</v>
      </c>
      <c r="K366" s="6">
        <v>40277800</v>
      </c>
      <c r="L366" s="7" t="s">
        <v>33</v>
      </c>
      <c r="M366" s="7" t="s">
        <v>1332</v>
      </c>
      <c r="N366" s="7" t="s">
        <v>1332</v>
      </c>
    </row>
    <row r="367" spans="1:14" s="4" customFormat="1" ht="13.2" x14ac:dyDescent="0.25">
      <c r="A367" s="7" t="s">
        <v>1333</v>
      </c>
      <c r="B367" s="7" t="s">
        <v>1334</v>
      </c>
      <c r="C367" s="7" t="s">
        <v>1335</v>
      </c>
      <c r="D367" s="6">
        <v>16.440000000000001</v>
      </c>
      <c r="E367" s="7" t="s">
        <v>1336</v>
      </c>
      <c r="F367" s="7" t="s">
        <v>1334</v>
      </c>
      <c r="G367" s="6">
        <v>29510855464.440002</v>
      </c>
      <c r="H367" s="6">
        <f>_xll.BDP($A367,"IPO_OFFER_PX_TO_LAST_CLOSE_%_CHG",$A$1,$A$2)</f>
        <v>-53.028570000000002</v>
      </c>
      <c r="I367" s="6">
        <f>_xll.BDP($A367,"IPO_OFFER_PX_TO_1ST_OPEN_%_CHG",$A$1,$A$2)</f>
        <v>81.428569999999993</v>
      </c>
      <c r="J367" s="6">
        <v>35</v>
      </c>
      <c r="K367" s="6">
        <v>130000000</v>
      </c>
      <c r="L367" s="7" t="s">
        <v>102</v>
      </c>
      <c r="M367" s="7" t="s">
        <v>956</v>
      </c>
      <c r="N367" s="7" t="s">
        <v>956</v>
      </c>
    </row>
    <row r="368" spans="1:14" s="4" customFormat="1" ht="13.2" x14ac:dyDescent="0.25">
      <c r="A368" s="7" t="s">
        <v>1337</v>
      </c>
      <c r="B368" s="7" t="s">
        <v>1338</v>
      </c>
      <c r="C368" s="7" t="s">
        <v>1339</v>
      </c>
      <c r="D368" s="6"/>
      <c r="E368" s="7" t="s">
        <v>1340</v>
      </c>
      <c r="F368" s="7" t="s">
        <v>1338</v>
      </c>
      <c r="G368" s="6"/>
      <c r="H368" s="6" t="str">
        <f>_xll.BDP($A368,"IPO_OFFER_PX_TO_LAST_CLOSE_%_CHG",$A$1,$A$2)</f>
        <v>#N/A N/A</v>
      </c>
      <c r="I368" s="6">
        <f>_xll.BDP($A368,"IPO_OFFER_PX_TO_1ST_OPEN_%_CHG",$A$1,$A$2)</f>
        <v>1</v>
      </c>
      <c r="J368" s="6">
        <v>10</v>
      </c>
      <c r="K368" s="6">
        <v>45000000</v>
      </c>
      <c r="L368" s="7"/>
      <c r="M368" s="7"/>
      <c r="N368" s="7"/>
    </row>
    <row r="369" spans="1:14" s="4" customFormat="1" ht="13.2" x14ac:dyDescent="0.25">
      <c r="A369" s="7" t="s">
        <v>1341</v>
      </c>
      <c r="B369" s="7" t="s">
        <v>1342</v>
      </c>
      <c r="C369" s="7" t="s">
        <v>1343</v>
      </c>
      <c r="D369" s="6"/>
      <c r="E369" s="7" t="s">
        <v>1344</v>
      </c>
      <c r="F369" s="7" t="s">
        <v>1342</v>
      </c>
      <c r="G369" s="6"/>
      <c r="H369" s="6" t="str">
        <f>_xll.BDP($A369,"IPO_OFFER_PX_TO_LAST_CLOSE_%_CHG",$A$1,$A$2)</f>
        <v>#N/A N/A</v>
      </c>
      <c r="I369" s="6">
        <f>_xll.BDP($A369,"IPO_OFFER_PX_TO_1ST_OPEN_%_CHG",$A$1,$A$2)</f>
        <v>4.4000000000000004</v>
      </c>
      <c r="J369" s="6">
        <v>10</v>
      </c>
      <c r="K369" s="6">
        <v>20000000</v>
      </c>
      <c r="L369" s="7"/>
      <c r="M369" s="7"/>
      <c r="N369" s="7"/>
    </row>
    <row r="370" spans="1:14" s="4" customFormat="1" ht="13.2" x14ac:dyDescent="0.25">
      <c r="A370" s="7" t="s">
        <v>1345</v>
      </c>
      <c r="B370" s="7" t="s">
        <v>1346</v>
      </c>
      <c r="C370" s="7" t="s">
        <v>1343</v>
      </c>
      <c r="D370" s="6">
        <v>40.83</v>
      </c>
      <c r="E370" s="7" t="s">
        <v>1347</v>
      </c>
      <c r="F370" s="7" t="s">
        <v>1346</v>
      </c>
      <c r="G370" s="6">
        <v>24608845896.449997</v>
      </c>
      <c r="H370" s="6">
        <f>_xll.BDP($A370,"IPO_OFFER_PX_TO_LAST_CLOSE_%_CHG",$A$1,$A$2)</f>
        <v>308.3</v>
      </c>
      <c r="I370" s="6">
        <f>_xll.BDP($A370,"IPO_OFFER_PX_TO_1ST_OPEN_%_CHG",$A$1,$A$2)</f>
        <v>3.5</v>
      </c>
      <c r="J370" s="6">
        <v>10</v>
      </c>
      <c r="K370" s="6">
        <v>28000000</v>
      </c>
      <c r="L370" s="7" t="s">
        <v>33</v>
      </c>
      <c r="M370" s="7" t="s">
        <v>1348</v>
      </c>
      <c r="N370" s="7" t="s">
        <v>1349</v>
      </c>
    </row>
    <row r="371" spans="1:14" s="4" customFormat="1" ht="13.2" x14ac:dyDescent="0.25">
      <c r="A371" s="7" t="s">
        <v>1350</v>
      </c>
      <c r="B371" s="7" t="s">
        <v>1351</v>
      </c>
      <c r="C371" s="7" t="s">
        <v>1343</v>
      </c>
      <c r="D371" s="6">
        <v>9.75</v>
      </c>
      <c r="E371" s="7" t="s">
        <v>1352</v>
      </c>
      <c r="F371" s="7" t="s">
        <v>1351</v>
      </c>
      <c r="G371" s="6"/>
      <c r="H371" s="6">
        <f>_xll.BDP($A371,"IPO_OFFER_PX_TO_LAST_CLOSE_%_CHG",$A$1,$A$2)</f>
        <v>-94.230770000000007</v>
      </c>
      <c r="I371" s="6">
        <f>_xll.BDP($A371,"IPO_OFFER_PX_TO_1ST_OPEN_%_CHG",$A$1,$A$2)</f>
        <v>28.698229999999999</v>
      </c>
      <c r="J371" s="6">
        <v>169</v>
      </c>
      <c r="K371" s="6">
        <v>91377700</v>
      </c>
      <c r="L371" s="7" t="s">
        <v>174</v>
      </c>
      <c r="M371" s="7" t="s">
        <v>201</v>
      </c>
      <c r="N371" s="7" t="s">
        <v>202</v>
      </c>
    </row>
    <row r="372" spans="1:14" s="4" customFormat="1" ht="13.2" x14ac:dyDescent="0.25">
      <c r="A372" s="7" t="s">
        <v>1353</v>
      </c>
      <c r="B372" s="7" t="s">
        <v>1354</v>
      </c>
      <c r="C372" s="7" t="s">
        <v>1343</v>
      </c>
      <c r="D372" s="6"/>
      <c r="E372" s="7" t="s">
        <v>1355</v>
      </c>
      <c r="F372" s="7" t="s">
        <v>1354</v>
      </c>
      <c r="G372" s="6"/>
      <c r="H372" s="6" t="str">
        <f>_xll.BDP($A372,"IPO_OFFER_PX_TO_LAST_CLOSE_%_CHG",$A$1,$A$2)</f>
        <v>#N/A N/A</v>
      </c>
      <c r="I372" s="6" t="str">
        <f>_xll.BDP($A372,"IPO_OFFER_PX_TO_1ST_OPEN_%_CHG",$A$1,$A$2)</f>
        <v>#N/A N/A</v>
      </c>
      <c r="J372" s="6">
        <v>250</v>
      </c>
      <c r="K372" s="6">
        <v>4000</v>
      </c>
      <c r="L372" s="7"/>
      <c r="M372" s="7"/>
      <c r="N372" s="7"/>
    </row>
    <row r="373" spans="1:14" s="4" customFormat="1" ht="13.2" x14ac:dyDescent="0.25">
      <c r="A373" s="7" t="s">
        <v>1356</v>
      </c>
      <c r="B373" s="7" t="s">
        <v>1357</v>
      </c>
      <c r="C373" s="7" t="s">
        <v>1358</v>
      </c>
      <c r="D373" s="6"/>
      <c r="E373" s="7" t="s">
        <v>1359</v>
      </c>
      <c r="F373" s="7" t="s">
        <v>1357</v>
      </c>
      <c r="G373" s="6"/>
      <c r="H373" s="6" t="str">
        <f>_xll.BDP($A373,"IPO_OFFER_PX_TO_LAST_CLOSE_%_CHG",$A$1,$A$2)</f>
        <v>#N/A N/A</v>
      </c>
      <c r="I373" s="6">
        <f>_xll.BDP($A373,"IPO_OFFER_PX_TO_1ST_OPEN_%_CHG",$A$1,$A$2)</f>
        <v>0</v>
      </c>
      <c r="J373" s="6">
        <v>10</v>
      </c>
      <c r="K373" s="6">
        <v>20000000</v>
      </c>
      <c r="L373" s="7"/>
      <c r="M373" s="7"/>
      <c r="N373" s="7"/>
    </row>
    <row r="374" spans="1:14" s="4" customFormat="1" ht="13.2" x14ac:dyDescent="0.25">
      <c r="A374" s="7" t="s">
        <v>1360</v>
      </c>
      <c r="B374" s="7" t="s">
        <v>1361</v>
      </c>
      <c r="C374" s="7" t="s">
        <v>1362</v>
      </c>
      <c r="D374" s="6">
        <v>11.08</v>
      </c>
      <c r="E374" s="7" t="s">
        <v>1363</v>
      </c>
      <c r="F374" s="7" t="s">
        <v>1361</v>
      </c>
      <c r="G374" s="6">
        <v>1503959234.4399998</v>
      </c>
      <c r="H374" s="6">
        <f>_xll.BDP($A374,"IPO_OFFER_PX_TO_LAST_CLOSE_%_CHG",$A$1,$A$2)</f>
        <v>-47.23809</v>
      </c>
      <c r="I374" s="6">
        <f>_xll.BDP($A374,"IPO_OFFER_PX_TO_1ST_OPEN_%_CHG",$A$1,$A$2)</f>
        <v>14.28571</v>
      </c>
      <c r="J374" s="6">
        <v>21</v>
      </c>
      <c r="K374" s="6">
        <v>16666700</v>
      </c>
      <c r="L374" s="7" t="s">
        <v>21</v>
      </c>
      <c r="M374" s="7" t="s">
        <v>248</v>
      </c>
      <c r="N374" s="7" t="s">
        <v>249</v>
      </c>
    </row>
    <row r="375" spans="1:14" s="4" customFormat="1" ht="13.2" x14ac:dyDescent="0.25">
      <c r="A375" s="7" t="s">
        <v>1364</v>
      </c>
      <c r="B375" s="7" t="s">
        <v>1365</v>
      </c>
      <c r="C375" s="7" t="s">
        <v>1362</v>
      </c>
      <c r="D375" s="6"/>
      <c r="E375" s="7" t="s">
        <v>1366</v>
      </c>
      <c r="F375" s="7" t="s">
        <v>1365</v>
      </c>
      <c r="G375" s="6"/>
      <c r="H375" s="6" t="str">
        <f>_xll.BDP($A375,"IPO_OFFER_PX_TO_LAST_CLOSE_%_CHG",$A$1,$A$2)</f>
        <v>#N/A N/A</v>
      </c>
      <c r="I375" s="6">
        <f>_xll.BDP($A375,"IPO_OFFER_PX_TO_1ST_OPEN_%_CHG",$A$1,$A$2)</f>
        <v>1.4</v>
      </c>
      <c r="J375" s="6">
        <v>10</v>
      </c>
      <c r="K375" s="6">
        <v>30000000</v>
      </c>
      <c r="L375" s="7"/>
      <c r="M375" s="7"/>
      <c r="N375" s="7"/>
    </row>
    <row r="376" spans="1:14" s="4" customFormat="1" ht="13.2" x14ac:dyDescent="0.25">
      <c r="A376" s="7" t="s">
        <v>1367</v>
      </c>
      <c r="B376" s="7" t="s">
        <v>1368</v>
      </c>
      <c r="C376" s="7" t="s">
        <v>1369</v>
      </c>
      <c r="D376" s="6">
        <v>29.6</v>
      </c>
      <c r="E376" s="7" t="s">
        <v>1370</v>
      </c>
      <c r="F376" s="7" t="s">
        <v>1368</v>
      </c>
      <c r="G376" s="6">
        <v>8924192800</v>
      </c>
      <c r="H376" s="6">
        <f>_xll.BDP($A376,"IPO_OFFER_PX_TO_LAST_CLOSE_%_CHG",$A$1,$A$2)</f>
        <v>-24.10256</v>
      </c>
      <c r="I376" s="6">
        <f>_xll.BDP($A376,"IPO_OFFER_PX_TO_1ST_OPEN_%_CHG",$A$1,$A$2)</f>
        <v>-7.6923069999999996</v>
      </c>
      <c r="J376" s="6">
        <v>39</v>
      </c>
      <c r="K376" s="6">
        <v>37041000</v>
      </c>
      <c r="L376" s="7" t="s">
        <v>66</v>
      </c>
      <c r="M376" s="7" t="s">
        <v>286</v>
      </c>
      <c r="N376" s="7" t="s">
        <v>1371</v>
      </c>
    </row>
    <row r="377" spans="1:14" s="4" customFormat="1" ht="13.2" x14ac:dyDescent="0.25">
      <c r="A377" s="7" t="s">
        <v>1372</v>
      </c>
      <c r="B377" s="7" t="s">
        <v>1373</v>
      </c>
      <c r="C377" s="7" t="s">
        <v>1374</v>
      </c>
      <c r="D377" s="6"/>
      <c r="E377" s="7" t="s">
        <v>1375</v>
      </c>
      <c r="F377" s="7" t="s">
        <v>1373</v>
      </c>
      <c r="G377" s="6"/>
      <c r="H377" s="6" t="str">
        <f>_xll.BDP($A377,"IPO_OFFER_PX_TO_LAST_CLOSE_%_CHG",$A$1,$A$2)</f>
        <v>#N/A N/A</v>
      </c>
      <c r="I377" s="6" t="str">
        <f>_xll.BDP($A377,"IPO_OFFER_PX_TO_1ST_OPEN_%_CHG",$A$1,$A$2)</f>
        <v>#N/A N/A</v>
      </c>
      <c r="J377" s="6"/>
      <c r="K377" s="6">
        <v>5000000</v>
      </c>
      <c r="L377" s="7"/>
      <c r="M377" s="7"/>
      <c r="N377" s="7"/>
    </row>
    <row r="378" spans="1:14" s="4" customFormat="1" ht="13.2" x14ac:dyDescent="0.25">
      <c r="A378" s="7" t="s">
        <v>1376</v>
      </c>
      <c r="B378" s="7" t="s">
        <v>1377</v>
      </c>
      <c r="C378" s="7" t="s">
        <v>1378</v>
      </c>
      <c r="D378" s="6"/>
      <c r="E378" s="7" t="s">
        <v>1379</v>
      </c>
      <c r="F378" s="7" t="s">
        <v>1377</v>
      </c>
      <c r="G378" s="6"/>
      <c r="H378" s="6" t="str">
        <f>_xll.BDP($A378,"IPO_OFFER_PX_TO_LAST_CLOSE_%_CHG",$A$1,$A$2)</f>
        <v>#N/A N/A</v>
      </c>
      <c r="I378" s="6">
        <f>_xll.BDP($A378,"IPO_OFFER_PX_TO_1ST_OPEN_%_CHG",$A$1,$A$2)</f>
        <v>9.5</v>
      </c>
      <c r="J378" s="6">
        <v>10</v>
      </c>
      <c r="K378" s="6">
        <v>13000000</v>
      </c>
      <c r="L378" s="7"/>
      <c r="M378" s="7"/>
      <c r="N378" s="7"/>
    </row>
    <row r="379" spans="1:14" s="4" customFormat="1" ht="13.2" x14ac:dyDescent="0.25">
      <c r="A379" s="7" t="s">
        <v>1380</v>
      </c>
      <c r="B379" s="7" t="s">
        <v>1381</v>
      </c>
      <c r="C379" s="7" t="s">
        <v>1382</v>
      </c>
      <c r="D379" s="6">
        <v>13.45</v>
      </c>
      <c r="E379" s="7" t="s">
        <v>1383</v>
      </c>
      <c r="F379" s="7" t="s">
        <v>1381</v>
      </c>
      <c r="G379" s="6"/>
      <c r="H379" s="6">
        <f>_xll.BDP($A379,"IPO_OFFER_PX_TO_LAST_CLOSE_%_CHG",$A$1,$A$2)</f>
        <v>-32.75</v>
      </c>
      <c r="I379" s="6">
        <f>_xll.BDP($A379,"IPO_OFFER_PX_TO_1ST_OPEN_%_CHG",$A$1,$A$2)</f>
        <v>0</v>
      </c>
      <c r="J379" s="6">
        <v>20</v>
      </c>
      <c r="K379" s="6">
        <v>22000000</v>
      </c>
      <c r="L379" s="7"/>
      <c r="M379" s="7"/>
      <c r="N379" s="7"/>
    </row>
    <row r="380" spans="1:14" s="4" customFormat="1" ht="13.2" x14ac:dyDescent="0.25">
      <c r="A380" s="7" t="s">
        <v>1384</v>
      </c>
      <c r="B380" s="7" t="s">
        <v>1385</v>
      </c>
      <c r="C380" s="7" t="s">
        <v>1386</v>
      </c>
      <c r="D380" s="6"/>
      <c r="E380" s="7" t="s">
        <v>1387</v>
      </c>
      <c r="F380" s="7" t="s">
        <v>1385</v>
      </c>
      <c r="G380" s="6"/>
      <c r="H380" s="6" t="str">
        <f>_xll.BDP($A380,"IPO_OFFER_PX_TO_LAST_CLOSE_%_CHG",$A$1,$A$2)</f>
        <v>#N/A N/A</v>
      </c>
      <c r="I380" s="6">
        <f>_xll.BDP($A380,"IPO_OFFER_PX_TO_1ST_OPEN_%_CHG",$A$1,$A$2)</f>
        <v>20</v>
      </c>
      <c r="J380" s="6">
        <v>0.2</v>
      </c>
      <c r="K380" s="6">
        <v>5000000</v>
      </c>
      <c r="L380" s="7"/>
      <c r="M380" s="7"/>
      <c r="N380" s="7"/>
    </row>
    <row r="381" spans="1:14" s="4" customFormat="1" ht="13.2" x14ac:dyDescent="0.25">
      <c r="A381" s="7" t="s">
        <v>1388</v>
      </c>
      <c r="B381" s="7" t="s">
        <v>1389</v>
      </c>
      <c r="C381" s="7" t="s">
        <v>1390</v>
      </c>
      <c r="D381" s="6">
        <v>4.3900000000000002E-2</v>
      </c>
      <c r="E381" s="7" t="s">
        <v>1391</v>
      </c>
      <c r="F381" s="7" t="s">
        <v>1389</v>
      </c>
      <c r="G381" s="6">
        <v>3717906.6283999998</v>
      </c>
      <c r="H381" s="6" t="str">
        <f>_xll.BDP($A381,"IPO_OFFER_PX_TO_LAST_CLOSE_%_CHG",$A$1,$A$2)</f>
        <v>#N/A N/A</v>
      </c>
      <c r="I381" s="6" t="str">
        <f>_xll.BDP($A381,"IPO_OFFER_PX_TO_1ST_OPEN_%_CHG",$A$1,$A$2)</f>
        <v>#N/A N/A</v>
      </c>
      <c r="J381" s="6">
        <v>0.25</v>
      </c>
      <c r="K381" s="6">
        <v>10000000</v>
      </c>
      <c r="L381" s="7"/>
      <c r="M381" s="7"/>
      <c r="N381" s="7"/>
    </row>
    <row r="382" spans="1:14" s="4" customFormat="1" ht="13.2" x14ac:dyDescent="0.25">
      <c r="A382" s="7" t="s">
        <v>1392</v>
      </c>
      <c r="B382" s="7" t="s">
        <v>1393</v>
      </c>
      <c r="C382" s="7" t="s">
        <v>1390</v>
      </c>
      <c r="D382" s="6">
        <v>21.95</v>
      </c>
      <c r="E382" s="7" t="s">
        <v>1394</v>
      </c>
      <c r="F382" s="7" t="s">
        <v>1393</v>
      </c>
      <c r="G382" s="6">
        <v>979961845.23032951</v>
      </c>
      <c r="H382" s="6">
        <f>_xll.BDP($A382,"IPO_OFFER_PX_TO_LAST_CLOSE_%_CHG",$A$1,$A$2)</f>
        <v>-56.1</v>
      </c>
      <c r="I382" s="6">
        <f>_xll.BDP($A382,"IPO_OFFER_PX_TO_1ST_OPEN_%_CHG",$A$1,$A$2)</f>
        <v>0</v>
      </c>
      <c r="J382" s="6">
        <v>50</v>
      </c>
      <c r="K382" s="6">
        <v>33316600</v>
      </c>
      <c r="L382" s="7" t="s">
        <v>174</v>
      </c>
      <c r="M382" s="7" t="s">
        <v>201</v>
      </c>
      <c r="N382" s="7" t="s">
        <v>202</v>
      </c>
    </row>
    <row r="383" spans="1:14" s="4" customFormat="1" ht="13.2" x14ac:dyDescent="0.25">
      <c r="A383" s="7" t="s">
        <v>1395</v>
      </c>
      <c r="B383" s="7" t="s">
        <v>1396</v>
      </c>
      <c r="C383" s="7" t="s">
        <v>1390</v>
      </c>
      <c r="D383" s="6"/>
      <c r="E383" s="7" t="s">
        <v>1397</v>
      </c>
      <c r="F383" s="7" t="s">
        <v>1396</v>
      </c>
      <c r="G383" s="6"/>
      <c r="H383" s="6" t="str">
        <f>_xll.BDP($A383,"IPO_OFFER_PX_TO_LAST_CLOSE_%_CHG",$A$1,$A$2)</f>
        <v>#N/A N/A</v>
      </c>
      <c r="I383" s="6">
        <f>_xll.BDP($A383,"IPO_OFFER_PX_TO_1ST_OPEN_%_CHG",$A$1,$A$2)</f>
        <v>0</v>
      </c>
      <c r="J383" s="6">
        <v>10</v>
      </c>
      <c r="K383" s="6">
        <v>15000000</v>
      </c>
      <c r="L383" s="7"/>
      <c r="M383" s="7"/>
      <c r="N383" s="7"/>
    </row>
    <row r="384" spans="1:14" s="4" customFormat="1" ht="13.2" x14ac:dyDescent="0.25">
      <c r="A384" s="7" t="s">
        <v>1398</v>
      </c>
      <c r="B384" s="7" t="s">
        <v>1399</v>
      </c>
      <c r="C384" s="7" t="s">
        <v>1400</v>
      </c>
      <c r="D384" s="6">
        <v>4.0000000000000002E-4</v>
      </c>
      <c r="E384" s="7" t="s">
        <v>1401</v>
      </c>
      <c r="F384" s="7" t="s">
        <v>1399</v>
      </c>
      <c r="G384" s="6">
        <v>497.00160000000005</v>
      </c>
      <c r="H384" s="6">
        <f>_xll.BDP($A384,"IPO_OFFER_PX_TO_LAST_CLOSE_%_CHG",$A$1,$A$2)</f>
        <v>-99.999979999999994</v>
      </c>
      <c r="I384" s="6">
        <f>_xll.BDP($A384,"IPO_OFFER_PX_TO_1ST_OPEN_%_CHG",$A$1,$A$2)</f>
        <v>-20</v>
      </c>
      <c r="J384" s="6">
        <v>10</v>
      </c>
      <c r="K384" s="6">
        <v>1800000</v>
      </c>
      <c r="L384" s="7" t="s">
        <v>21</v>
      </c>
      <c r="M384" s="7" t="s">
        <v>62</v>
      </c>
      <c r="N384" s="7" t="s">
        <v>62</v>
      </c>
    </row>
    <row r="385" spans="1:14" s="4" customFormat="1" ht="13.2" x14ac:dyDescent="0.25">
      <c r="A385" s="7" t="s">
        <v>1402</v>
      </c>
      <c r="B385" s="7" t="s">
        <v>1403</v>
      </c>
      <c r="C385" s="7" t="s">
        <v>1400</v>
      </c>
      <c r="D385" s="6"/>
      <c r="E385" s="7" t="s">
        <v>1404</v>
      </c>
      <c r="F385" s="7" t="s">
        <v>1403</v>
      </c>
      <c r="G385" s="6"/>
      <c r="H385" s="6" t="str">
        <f>_xll.BDP($A385,"IPO_OFFER_PX_TO_LAST_CLOSE_%_CHG",$A$1,$A$2)</f>
        <v>#N/A N/A</v>
      </c>
      <c r="I385" s="6">
        <f>_xll.BDP($A385,"IPO_OFFER_PX_TO_1ST_OPEN_%_CHG",$A$1,$A$2)</f>
        <v>5</v>
      </c>
      <c r="J385" s="6">
        <v>10</v>
      </c>
      <c r="K385" s="6">
        <v>17500000</v>
      </c>
      <c r="L385" s="7"/>
      <c r="M385" s="7"/>
      <c r="N385" s="7"/>
    </row>
    <row r="386" spans="1:14" s="4" customFormat="1" ht="13.2" x14ac:dyDescent="0.25">
      <c r="A386" s="7" t="s">
        <v>1405</v>
      </c>
      <c r="B386" s="7" t="s">
        <v>1406</v>
      </c>
      <c r="C386" s="7" t="s">
        <v>1400</v>
      </c>
      <c r="D386" s="6"/>
      <c r="E386" s="7" t="s">
        <v>1407</v>
      </c>
      <c r="F386" s="7" t="s">
        <v>1406</v>
      </c>
      <c r="G386" s="6"/>
      <c r="H386" s="6" t="str">
        <f>_xll.BDP($A386,"IPO_OFFER_PX_TO_LAST_CLOSE_%_CHG",$A$1,$A$2)</f>
        <v>#N/A N/A</v>
      </c>
      <c r="I386" s="6">
        <f>_xll.BDP($A386,"IPO_OFFER_PX_TO_1ST_OPEN_%_CHG",$A$1,$A$2)</f>
        <v>5</v>
      </c>
      <c r="J386" s="6">
        <v>10</v>
      </c>
      <c r="K386" s="6">
        <v>13100000</v>
      </c>
      <c r="L386" s="7"/>
      <c r="M386" s="7"/>
      <c r="N386" s="7"/>
    </row>
    <row r="387" spans="1:14" s="4" customFormat="1" ht="13.2" x14ac:dyDescent="0.25">
      <c r="A387" s="7" t="s">
        <v>1408</v>
      </c>
      <c r="B387" s="7" t="s">
        <v>1409</v>
      </c>
      <c r="C387" s="7" t="s">
        <v>1410</v>
      </c>
      <c r="D387" s="6">
        <v>1E-4</v>
      </c>
      <c r="E387" s="7" t="s">
        <v>1411</v>
      </c>
      <c r="F387" s="7" t="s">
        <v>1409</v>
      </c>
      <c r="G387" s="6">
        <v>139.46710000000002</v>
      </c>
      <c r="H387" s="6">
        <f>_xll.BDP($A387,"IPO_OFFER_PX_TO_LAST_CLOSE_%_CHG",$A$1,$A$2)</f>
        <v>-99.999979999999994</v>
      </c>
      <c r="I387" s="6">
        <f>_xll.BDP($A387,"IPO_OFFER_PX_TO_1ST_OPEN_%_CHG",$A$1,$A$2)</f>
        <v>35.352939999999997</v>
      </c>
      <c r="J387" s="6">
        <v>17</v>
      </c>
      <c r="K387" s="6">
        <v>6471000</v>
      </c>
      <c r="L387" s="7" t="s">
        <v>21</v>
      </c>
      <c r="M387" s="7" t="s">
        <v>22</v>
      </c>
      <c r="N387" s="7" t="s">
        <v>22</v>
      </c>
    </row>
    <row r="388" spans="1:14" s="4" customFormat="1" ht="13.2" x14ac:dyDescent="0.25">
      <c r="A388" s="7" t="s">
        <v>1412</v>
      </c>
      <c r="B388" s="7" t="s">
        <v>1413</v>
      </c>
      <c r="C388" s="7" t="s">
        <v>1410</v>
      </c>
      <c r="D388" s="6"/>
      <c r="E388" s="7" t="s">
        <v>1414</v>
      </c>
      <c r="F388" s="7" t="s">
        <v>1413</v>
      </c>
      <c r="G388" s="6"/>
      <c r="H388" s="6" t="str">
        <f>_xll.BDP($A388,"IPO_OFFER_PX_TO_LAST_CLOSE_%_CHG",$A$1,$A$2)</f>
        <v>#N/A N/A</v>
      </c>
      <c r="I388" s="6">
        <f>_xll.BDP($A388,"IPO_OFFER_PX_TO_1ST_OPEN_%_CHG",$A$1,$A$2)</f>
        <v>17.77778</v>
      </c>
      <c r="J388" s="6">
        <v>18</v>
      </c>
      <c r="K388" s="6">
        <v>7062000</v>
      </c>
      <c r="L388" s="7"/>
      <c r="M388" s="7"/>
      <c r="N388" s="7"/>
    </row>
    <row r="389" spans="1:14" s="4" customFormat="1" ht="13.2" x14ac:dyDescent="0.25">
      <c r="A389" s="7" t="s">
        <v>1415</v>
      </c>
      <c r="B389" s="7" t="s">
        <v>1416</v>
      </c>
      <c r="C389" s="7" t="s">
        <v>1410</v>
      </c>
      <c r="D389" s="6"/>
      <c r="E389" s="7" t="s">
        <v>1417</v>
      </c>
      <c r="F389" s="7" t="s">
        <v>1416</v>
      </c>
      <c r="G389" s="6"/>
      <c r="H389" s="6" t="str">
        <f>_xll.BDP($A389,"IPO_OFFER_PX_TO_LAST_CLOSE_%_CHG",$A$1,$A$2)</f>
        <v>#N/A N/A</v>
      </c>
      <c r="I389" s="6">
        <f>_xll.BDP($A389,"IPO_OFFER_PX_TO_1ST_OPEN_%_CHG",$A$1,$A$2)</f>
        <v>81.25</v>
      </c>
      <c r="J389" s="6">
        <v>16</v>
      </c>
      <c r="K389" s="6">
        <v>13800000</v>
      </c>
      <c r="L389" s="7"/>
      <c r="M389" s="7"/>
      <c r="N389" s="7"/>
    </row>
    <row r="390" spans="1:14" s="4" customFormat="1" ht="13.2" x14ac:dyDescent="0.25">
      <c r="A390" s="7" t="s">
        <v>1418</v>
      </c>
      <c r="B390" s="7" t="s">
        <v>1419</v>
      </c>
      <c r="C390" s="7" t="s">
        <v>1410</v>
      </c>
      <c r="D390" s="6">
        <v>0.60219999999999996</v>
      </c>
      <c r="E390" s="7" t="s">
        <v>1420</v>
      </c>
      <c r="F390" s="7" t="s">
        <v>1419</v>
      </c>
      <c r="G390" s="6">
        <v>19028286.694399998</v>
      </c>
      <c r="H390" s="6">
        <f>_xll.BDP($A390,"IPO_OFFER_PX_TO_LAST_CLOSE_%_CHG",$A$1,$A$2)</f>
        <v>-99.397800000000004</v>
      </c>
      <c r="I390" s="6">
        <f>_xll.BDP($A390,"IPO_OFFER_PX_TO_1ST_OPEN_%_CHG",$A$1,$A$2)</f>
        <v>0</v>
      </c>
      <c r="J390" s="6">
        <v>10</v>
      </c>
      <c r="K390" s="6">
        <v>2660000</v>
      </c>
      <c r="L390" s="7" t="s">
        <v>21</v>
      </c>
      <c r="M390" s="7" t="s">
        <v>22</v>
      </c>
      <c r="N390" s="7" t="s">
        <v>22</v>
      </c>
    </row>
    <row r="391" spans="1:14" s="4" customFormat="1" ht="13.2" x14ac:dyDescent="0.25">
      <c r="A391" s="7" t="s">
        <v>1421</v>
      </c>
      <c r="B391" s="7" t="s">
        <v>1422</v>
      </c>
      <c r="C391" s="7" t="s">
        <v>1423</v>
      </c>
      <c r="D391" s="6">
        <v>1.07</v>
      </c>
      <c r="E391" s="7" t="s">
        <v>1424</v>
      </c>
      <c r="F391" s="7" t="s">
        <v>1422</v>
      </c>
      <c r="G391" s="6">
        <v>361471571.93000007</v>
      </c>
      <c r="H391" s="6">
        <f>_xll.BDP($A391,"IPO_OFFER_PX_TO_LAST_CLOSE_%_CHG",$A$1,$A$2)</f>
        <v>-92.357140000000001</v>
      </c>
      <c r="I391" s="6" t="str">
        <f>_xll.BDP($A391,"IPO_OFFER_PX_TO_1ST_OPEN_%_CHG",$A$1,$A$2)</f>
        <v>#N/A N/A</v>
      </c>
      <c r="J391" s="6">
        <v>14</v>
      </c>
      <c r="K391" s="6">
        <v>3850000</v>
      </c>
      <c r="L391" s="7" t="s">
        <v>66</v>
      </c>
      <c r="M391" s="7" t="s">
        <v>440</v>
      </c>
      <c r="N391" s="7" t="s">
        <v>463</v>
      </c>
    </row>
    <row r="392" spans="1:14" s="4" customFormat="1" ht="13.2" x14ac:dyDescent="0.25">
      <c r="A392" s="7" t="s">
        <v>1425</v>
      </c>
      <c r="B392" s="7" t="s">
        <v>1426</v>
      </c>
      <c r="C392" s="7" t="s">
        <v>1423</v>
      </c>
      <c r="D392" s="6">
        <v>11.58</v>
      </c>
      <c r="E392" s="7" t="s">
        <v>1427</v>
      </c>
      <c r="F392" s="7" t="s">
        <v>1426</v>
      </c>
      <c r="G392" s="6">
        <v>967332810.29999983</v>
      </c>
      <c r="H392" s="6">
        <f>_xll.BDP($A392,"IPO_OFFER_PX_TO_LAST_CLOSE_%_CHG",$A$1,$A$2)</f>
        <v>-10.923080000000001</v>
      </c>
      <c r="I392" s="6">
        <f>_xll.BDP($A392,"IPO_OFFER_PX_TO_1ST_OPEN_%_CHG",$A$1,$A$2)</f>
        <v>16.153849999999998</v>
      </c>
      <c r="J392" s="6">
        <v>13</v>
      </c>
      <c r="K392" s="6">
        <v>8000000</v>
      </c>
      <c r="L392" s="7" t="s">
        <v>21</v>
      </c>
      <c r="M392" s="7" t="s">
        <v>87</v>
      </c>
      <c r="N392" s="7" t="s">
        <v>577</v>
      </c>
    </row>
    <row r="393" spans="1:14" s="4" customFormat="1" ht="13.2" x14ac:dyDescent="0.25">
      <c r="A393" s="7" t="s">
        <v>1428</v>
      </c>
      <c r="B393" s="7" t="s">
        <v>1429</v>
      </c>
      <c r="C393" s="7" t="s">
        <v>1423</v>
      </c>
      <c r="D393" s="6"/>
      <c r="E393" s="7" t="s">
        <v>1430</v>
      </c>
      <c r="F393" s="7" t="s">
        <v>1429</v>
      </c>
      <c r="G393" s="6"/>
      <c r="H393" s="6" t="str">
        <f>_xll.BDP($A393,"IPO_OFFER_PX_TO_LAST_CLOSE_%_CHG",$A$1,$A$2)</f>
        <v>#N/A N/A</v>
      </c>
      <c r="I393" s="6">
        <f>_xll.BDP($A393,"IPO_OFFER_PX_TO_1ST_OPEN_%_CHG",$A$1,$A$2)</f>
        <v>40</v>
      </c>
      <c r="J393" s="6">
        <v>20</v>
      </c>
      <c r="K393" s="6">
        <v>7500000</v>
      </c>
      <c r="L393" s="7"/>
      <c r="M393" s="7"/>
      <c r="N393" s="7"/>
    </row>
    <row r="394" spans="1:14" s="4" customFormat="1" ht="13.2" x14ac:dyDescent="0.25">
      <c r="A394" s="7" t="s">
        <v>1431</v>
      </c>
      <c r="B394" s="7" t="s">
        <v>1432</v>
      </c>
      <c r="C394" s="7" t="s">
        <v>1423</v>
      </c>
      <c r="D394" s="6"/>
      <c r="E394" s="7" t="s">
        <v>1433</v>
      </c>
      <c r="F394" s="7" t="s">
        <v>1432</v>
      </c>
      <c r="G394" s="6"/>
      <c r="H394" s="6" t="str">
        <f>_xll.BDP($A394,"IPO_OFFER_PX_TO_LAST_CLOSE_%_CHG",$A$1,$A$2)</f>
        <v>#N/A N/A</v>
      </c>
      <c r="I394" s="6">
        <f>_xll.BDP($A394,"IPO_OFFER_PX_TO_1ST_OPEN_%_CHG",$A$1,$A$2)</f>
        <v>33.333329999999997</v>
      </c>
      <c r="J394" s="6">
        <v>24</v>
      </c>
      <c r="K394" s="6">
        <v>23500000</v>
      </c>
      <c r="L394" s="7"/>
      <c r="M394" s="7"/>
      <c r="N394" s="7"/>
    </row>
    <row r="395" spans="1:14" s="4" customFormat="1" ht="13.2" x14ac:dyDescent="0.25">
      <c r="A395" s="7" t="s">
        <v>1434</v>
      </c>
      <c r="B395" s="7" t="s">
        <v>1435</v>
      </c>
      <c r="C395" s="7" t="s">
        <v>1423</v>
      </c>
      <c r="D395" s="6">
        <v>2.93</v>
      </c>
      <c r="E395" s="7" t="s">
        <v>1436</v>
      </c>
      <c r="F395" s="7" t="s">
        <v>1435</v>
      </c>
      <c r="G395" s="6">
        <v>444421318.82999998</v>
      </c>
      <c r="H395" s="6">
        <f>_xll.BDP($A395,"IPO_OFFER_PX_TO_LAST_CLOSE_%_CHG",$A$1,$A$2)</f>
        <v>-93.186040000000006</v>
      </c>
      <c r="I395" s="6">
        <f>_xll.BDP($A395,"IPO_OFFER_PX_TO_1ST_OPEN_%_CHG",$A$1,$A$2)</f>
        <v>76.744190000000003</v>
      </c>
      <c r="J395" s="6">
        <v>43</v>
      </c>
      <c r="K395" s="6">
        <v>50000000</v>
      </c>
      <c r="L395" s="7" t="s">
        <v>174</v>
      </c>
      <c r="M395" s="7" t="s">
        <v>175</v>
      </c>
      <c r="N395" s="7" t="s">
        <v>175</v>
      </c>
    </row>
    <row r="396" spans="1:14" s="4" customFormat="1" ht="13.2" x14ac:dyDescent="0.25">
      <c r="A396" s="7" t="s">
        <v>1437</v>
      </c>
      <c r="B396" s="7" t="s">
        <v>1438</v>
      </c>
      <c r="C396" s="7" t="s">
        <v>1439</v>
      </c>
      <c r="D396" s="6">
        <v>1.47</v>
      </c>
      <c r="E396" s="7" t="s">
        <v>1440</v>
      </c>
      <c r="F396" s="7" t="s">
        <v>1438</v>
      </c>
      <c r="G396" s="6">
        <v>2603131.86</v>
      </c>
      <c r="H396" s="6">
        <f>_xll.BDP($A396,"IPO_OFFER_PX_TO_LAST_CLOSE_%_CHG",$A$1,$A$2)</f>
        <v>-99.999979999999994</v>
      </c>
      <c r="I396" s="6">
        <f>_xll.BDP($A396,"IPO_OFFER_PX_TO_1ST_OPEN_%_CHG",$A$1,$A$2)</f>
        <v>12.625</v>
      </c>
      <c r="J396" s="6">
        <v>8</v>
      </c>
      <c r="K396" s="6">
        <v>2250000</v>
      </c>
      <c r="L396" s="7" t="s">
        <v>21</v>
      </c>
      <c r="M396" s="7" t="s">
        <v>22</v>
      </c>
      <c r="N396" s="7" t="s">
        <v>22</v>
      </c>
    </row>
    <row r="397" spans="1:14" s="4" customFormat="1" ht="13.2" x14ac:dyDescent="0.25">
      <c r="A397" s="7" t="s">
        <v>1441</v>
      </c>
      <c r="B397" s="7" t="s">
        <v>1442</v>
      </c>
      <c r="C397" s="7" t="s">
        <v>1439</v>
      </c>
      <c r="D397" s="6">
        <v>11.9</v>
      </c>
      <c r="E397" s="7" t="s">
        <v>1443</v>
      </c>
      <c r="F397" s="7" t="s">
        <v>1442</v>
      </c>
      <c r="G397" s="6">
        <v>779853671.80000007</v>
      </c>
      <c r="H397" s="6">
        <f>_xll.BDP($A397,"IPO_OFFER_PX_TO_LAST_CLOSE_%_CHG",$A$1,$A$2)</f>
        <v>-52.4</v>
      </c>
      <c r="I397" s="6">
        <f>_xll.BDP($A397,"IPO_OFFER_PX_TO_1ST_OPEN_%_CHG",$A$1,$A$2)</f>
        <v>76</v>
      </c>
      <c r="J397" s="6">
        <v>25</v>
      </c>
      <c r="K397" s="6">
        <v>10000000</v>
      </c>
      <c r="L397" s="7" t="s">
        <v>40</v>
      </c>
      <c r="M397" s="7" t="s">
        <v>41</v>
      </c>
      <c r="N397" s="7" t="s">
        <v>42</v>
      </c>
    </row>
    <row r="398" spans="1:14" s="4" customFormat="1" ht="13.2" x14ac:dyDescent="0.25">
      <c r="A398" s="7" t="s">
        <v>1444</v>
      </c>
      <c r="B398" s="7" t="s">
        <v>1445</v>
      </c>
      <c r="C398" s="7" t="s">
        <v>1446</v>
      </c>
      <c r="D398" s="6">
        <v>2.25</v>
      </c>
      <c r="E398" s="7" t="s">
        <v>1447</v>
      </c>
      <c r="F398" s="7" t="s">
        <v>1445</v>
      </c>
      <c r="G398" s="6">
        <v>1250469.16875</v>
      </c>
      <c r="H398" s="6">
        <f>_xll.BDP($A398,"IPO_OFFER_PX_TO_LAST_CLOSE_%_CHG",$A$1,$A$2)</f>
        <v>-99.999949999999998</v>
      </c>
      <c r="I398" s="6" t="str">
        <f>_xll.BDP($A398,"IPO_OFFER_PX_TO_1ST_OPEN_%_CHG",$A$1,$A$2)</f>
        <v>#N/A N/A</v>
      </c>
      <c r="J398" s="6">
        <v>6</v>
      </c>
      <c r="K398" s="6">
        <v>1800000</v>
      </c>
      <c r="L398" s="7" t="s">
        <v>66</v>
      </c>
      <c r="M398" s="7" t="s">
        <v>286</v>
      </c>
      <c r="N398" s="7" t="s">
        <v>287</v>
      </c>
    </row>
    <row r="399" spans="1:14" s="4" customFormat="1" ht="13.2" x14ac:dyDescent="0.25">
      <c r="A399" s="7" t="s">
        <v>1448</v>
      </c>
      <c r="B399" s="7" t="s">
        <v>1449</v>
      </c>
      <c r="C399" s="7" t="s">
        <v>1446</v>
      </c>
      <c r="D399" s="6"/>
      <c r="E399" s="7" t="s">
        <v>1450</v>
      </c>
      <c r="F399" s="7" t="s">
        <v>1449</v>
      </c>
      <c r="G399" s="6"/>
      <c r="H399" s="6" t="str">
        <f>_xll.BDP($A399,"IPO_OFFER_PX_TO_LAST_CLOSE_%_CHG",$A$1,$A$2)</f>
        <v>#N/A N/A</v>
      </c>
      <c r="I399" s="6">
        <f>_xll.BDP($A399,"IPO_OFFER_PX_TO_1ST_OPEN_%_CHG",$A$1,$A$2)</f>
        <v>8</v>
      </c>
      <c r="J399" s="6">
        <v>10</v>
      </c>
      <c r="K399" s="6">
        <v>24000000</v>
      </c>
      <c r="L399" s="7"/>
      <c r="M399" s="7"/>
      <c r="N399" s="7"/>
    </row>
    <row r="400" spans="1:14" s="4" customFormat="1" ht="13.2" x14ac:dyDescent="0.25">
      <c r="A400" s="7" t="s">
        <v>1451</v>
      </c>
      <c r="B400" s="7" t="s">
        <v>1452</v>
      </c>
      <c r="C400" s="7" t="s">
        <v>1453</v>
      </c>
      <c r="D400" s="6">
        <v>3.04</v>
      </c>
      <c r="E400" s="7" t="s">
        <v>1454</v>
      </c>
      <c r="F400" s="7" t="s">
        <v>1452</v>
      </c>
      <c r="G400" s="6">
        <v>69981432.319999993</v>
      </c>
      <c r="H400" s="6">
        <f>_xll.BDP($A400,"IPO_OFFER_PX_TO_LAST_CLOSE_%_CHG",$A$1,$A$2)</f>
        <v>-98.1</v>
      </c>
      <c r="I400" s="6">
        <f>_xll.BDP($A400,"IPO_OFFER_PX_TO_1ST_OPEN_%_CHG",$A$1,$A$2)</f>
        <v>10.125</v>
      </c>
      <c r="J400" s="6">
        <v>16</v>
      </c>
      <c r="K400" s="6">
        <v>5000000</v>
      </c>
      <c r="L400" s="7" t="s">
        <v>21</v>
      </c>
      <c r="M400" s="7" t="s">
        <v>22</v>
      </c>
      <c r="N400" s="7" t="s">
        <v>22</v>
      </c>
    </row>
    <row r="401" spans="1:14" s="4" customFormat="1" ht="13.2" x14ac:dyDescent="0.25">
      <c r="A401" s="7" t="s">
        <v>1455</v>
      </c>
      <c r="B401" s="7" t="s">
        <v>1456</v>
      </c>
      <c r="C401" s="7" t="s">
        <v>1453</v>
      </c>
      <c r="D401" s="6"/>
      <c r="E401" s="7" t="s">
        <v>1457</v>
      </c>
      <c r="F401" s="7" t="s">
        <v>1456</v>
      </c>
      <c r="G401" s="6"/>
      <c r="H401" s="6" t="str">
        <f>_xll.BDP($A401,"IPO_OFFER_PX_TO_LAST_CLOSE_%_CHG",$A$1,$A$2)</f>
        <v>#N/A N/A</v>
      </c>
      <c r="I401" s="6">
        <f>_xll.BDP($A401,"IPO_OFFER_PX_TO_1ST_OPEN_%_CHG",$A$1,$A$2)</f>
        <v>-0.29411769999999998</v>
      </c>
      <c r="J401" s="6">
        <v>17</v>
      </c>
      <c r="K401" s="6">
        <v>7500000</v>
      </c>
      <c r="L401" s="7"/>
      <c r="M401" s="7"/>
      <c r="N401" s="7"/>
    </row>
    <row r="402" spans="1:14" s="4" customFormat="1" ht="13.2" x14ac:dyDescent="0.25">
      <c r="A402" s="7" t="s">
        <v>1458</v>
      </c>
      <c r="B402" s="7" t="s">
        <v>1459</v>
      </c>
      <c r="C402" s="7" t="s">
        <v>1453</v>
      </c>
      <c r="D402" s="6"/>
      <c r="E402" s="7" t="s">
        <v>1460</v>
      </c>
      <c r="F402" s="7" t="s">
        <v>1459</v>
      </c>
      <c r="G402" s="6"/>
      <c r="H402" s="6" t="str">
        <f>_xll.BDP($A402,"IPO_OFFER_PX_TO_LAST_CLOSE_%_CHG",$A$1,$A$2)</f>
        <v>#N/A N/A</v>
      </c>
      <c r="I402" s="6">
        <f>_xll.BDP($A402,"IPO_OFFER_PX_TO_1ST_OPEN_%_CHG",$A$1,$A$2)</f>
        <v>30</v>
      </c>
      <c r="J402" s="6">
        <v>17</v>
      </c>
      <c r="K402" s="6">
        <v>9000000</v>
      </c>
      <c r="L402" s="7"/>
      <c r="M402" s="7"/>
      <c r="N402" s="7"/>
    </row>
    <row r="403" spans="1:14" s="4" customFormat="1" ht="13.2" x14ac:dyDescent="0.25">
      <c r="A403" s="7" t="s">
        <v>1461</v>
      </c>
      <c r="B403" s="7" t="s">
        <v>1462</v>
      </c>
      <c r="C403" s="7" t="s">
        <v>1453</v>
      </c>
      <c r="D403" s="6">
        <v>4.4749999999999996</v>
      </c>
      <c r="E403" s="7" t="s">
        <v>1463</v>
      </c>
      <c r="F403" s="7" t="s">
        <v>1462</v>
      </c>
      <c r="G403" s="6">
        <v>8599012.3249999993</v>
      </c>
      <c r="H403" s="6">
        <f>_xll.BDP($A403,"IPO_OFFER_PX_TO_LAST_CLOSE_%_CHG",$A$1,$A$2)</f>
        <v>-98.881249999999994</v>
      </c>
      <c r="I403" s="6">
        <f>_xll.BDP($A403,"IPO_OFFER_PX_TO_1ST_OPEN_%_CHG",$A$1,$A$2)</f>
        <v>30.5</v>
      </c>
      <c r="J403" s="6">
        <v>20</v>
      </c>
      <c r="K403" s="6">
        <v>11500000</v>
      </c>
      <c r="L403" s="7" t="s">
        <v>21</v>
      </c>
      <c r="M403" s="7" t="s">
        <v>22</v>
      </c>
      <c r="N403" s="7" t="s">
        <v>22</v>
      </c>
    </row>
    <row r="404" spans="1:14" s="4" customFormat="1" ht="13.2" x14ac:dyDescent="0.25">
      <c r="A404" s="7" t="s">
        <v>1464</v>
      </c>
      <c r="B404" s="7" t="s">
        <v>1465</v>
      </c>
      <c r="C404" s="7" t="s">
        <v>1453</v>
      </c>
      <c r="D404" s="6">
        <v>17.45</v>
      </c>
      <c r="E404" s="7" t="s">
        <v>1466</v>
      </c>
      <c r="F404" s="7" t="s">
        <v>1465</v>
      </c>
      <c r="G404" s="6">
        <v>945543553.64999998</v>
      </c>
      <c r="H404" s="6">
        <f>_xll.BDP($A404,"IPO_OFFER_PX_TO_LAST_CLOSE_%_CHG",$A$1,$A$2)</f>
        <v>-95.152780000000007</v>
      </c>
      <c r="I404" s="6">
        <f>_xll.BDP($A404,"IPO_OFFER_PX_TO_1ST_OPEN_%_CHG",$A$1,$A$2)</f>
        <v>133.4444</v>
      </c>
      <c r="J404" s="6">
        <v>18</v>
      </c>
      <c r="K404" s="6">
        <v>9828000</v>
      </c>
      <c r="L404" s="7" t="s">
        <v>21</v>
      </c>
      <c r="M404" s="7" t="s">
        <v>22</v>
      </c>
      <c r="N404" s="7" t="s">
        <v>22</v>
      </c>
    </row>
    <row r="405" spans="1:14" s="4" customFormat="1" ht="13.2" x14ac:dyDescent="0.25">
      <c r="A405" s="7" t="s">
        <v>1467</v>
      </c>
      <c r="B405" s="7" t="s">
        <v>1468</v>
      </c>
      <c r="C405" s="7" t="s">
        <v>1453</v>
      </c>
      <c r="D405" s="6">
        <v>0.99380000000000002</v>
      </c>
      <c r="E405" s="7" t="s">
        <v>1469</v>
      </c>
      <c r="F405" s="7" t="s">
        <v>1468</v>
      </c>
      <c r="G405" s="6">
        <v>191642472.97219998</v>
      </c>
      <c r="H405" s="6">
        <f>_xll.BDP($A405,"IPO_OFFER_PX_TO_LAST_CLOSE_%_CHG",$A$1,$A$2)</f>
        <v>-90.061999999999998</v>
      </c>
      <c r="I405" s="6">
        <f>_xll.BDP($A405,"IPO_OFFER_PX_TO_1ST_OPEN_%_CHG",$A$1,$A$2)</f>
        <v>12.7</v>
      </c>
      <c r="J405" s="6">
        <v>10</v>
      </c>
      <c r="K405" s="6">
        <v>30000000</v>
      </c>
      <c r="L405" s="7" t="s">
        <v>40</v>
      </c>
      <c r="M405" s="7" t="s">
        <v>1470</v>
      </c>
      <c r="N405" s="7" t="s">
        <v>1471</v>
      </c>
    </row>
    <row r="406" spans="1:14" s="4" customFormat="1" ht="13.2" x14ac:dyDescent="0.25">
      <c r="A406" s="7" t="s">
        <v>1472</v>
      </c>
      <c r="B406" s="7" t="s">
        <v>1473</v>
      </c>
      <c r="C406" s="7" t="s">
        <v>1474</v>
      </c>
      <c r="D406" s="6"/>
      <c r="E406" s="7" t="s">
        <v>1475</v>
      </c>
      <c r="F406" s="7" t="s">
        <v>1473</v>
      </c>
      <c r="G406" s="6"/>
      <c r="H406" s="6" t="str">
        <f>_xll.BDP($A406,"IPO_OFFER_PX_TO_LAST_CLOSE_%_CHG",$A$1,$A$2)</f>
        <v>#N/A N/A</v>
      </c>
      <c r="I406" s="6">
        <f>_xll.BDP($A406,"IPO_OFFER_PX_TO_1ST_OPEN_%_CHG",$A$1,$A$2)</f>
        <v>-18.75</v>
      </c>
      <c r="J406" s="6">
        <v>16</v>
      </c>
      <c r="K406" s="6">
        <v>6250000</v>
      </c>
      <c r="L406" s="7"/>
      <c r="M406" s="7"/>
      <c r="N406" s="7"/>
    </row>
    <row r="407" spans="1:14" s="4" customFormat="1" ht="13.2" x14ac:dyDescent="0.25">
      <c r="A407" s="7" t="s">
        <v>1476</v>
      </c>
      <c r="B407" s="7" t="s">
        <v>1477</v>
      </c>
      <c r="C407" s="7" t="s">
        <v>1474</v>
      </c>
      <c r="D407" s="6">
        <v>3.14</v>
      </c>
      <c r="E407" s="7" t="s">
        <v>1478</v>
      </c>
      <c r="F407" s="7" t="s">
        <v>1477</v>
      </c>
      <c r="G407" s="6">
        <v>873835592.60000014</v>
      </c>
      <c r="H407" s="6">
        <f>_xll.BDP($A407,"IPO_OFFER_PX_TO_LAST_CLOSE_%_CHG",$A$1,$A$2)</f>
        <v>-87.44</v>
      </c>
      <c r="I407" s="6">
        <f>_xll.BDP($A407,"IPO_OFFER_PX_TO_1ST_OPEN_%_CHG",$A$1,$A$2)</f>
        <v>40</v>
      </c>
      <c r="J407" s="6">
        <v>25</v>
      </c>
      <c r="K407" s="6">
        <v>23500000</v>
      </c>
      <c r="L407" s="7" t="s">
        <v>21</v>
      </c>
      <c r="M407" s="7" t="s">
        <v>22</v>
      </c>
      <c r="N407" s="7" t="s">
        <v>22</v>
      </c>
    </row>
    <row r="408" spans="1:14" s="4" customFormat="1" ht="13.2" x14ac:dyDescent="0.25">
      <c r="A408" s="7" t="s">
        <v>1479</v>
      </c>
      <c r="B408" s="7" t="s">
        <v>1480</v>
      </c>
      <c r="C408" s="7" t="s">
        <v>1474</v>
      </c>
      <c r="D408" s="6">
        <v>28.19</v>
      </c>
      <c r="E408" s="7" t="s">
        <v>1481</v>
      </c>
      <c r="F408" s="7" t="s">
        <v>1480</v>
      </c>
      <c r="G408" s="6">
        <v>726703075.25999999</v>
      </c>
      <c r="H408" s="6">
        <f>_xll.BDP($A408,"IPO_OFFER_PX_TO_LAST_CLOSE_%_CHG",$A$1,$A$2)</f>
        <v>-92.581580000000002</v>
      </c>
      <c r="I408" s="6">
        <f>_xll.BDP($A408,"IPO_OFFER_PX_TO_1ST_OPEN_%_CHG",$A$1,$A$2)</f>
        <v>30</v>
      </c>
      <c r="J408" s="6">
        <v>19</v>
      </c>
      <c r="K408" s="6">
        <v>7000100</v>
      </c>
      <c r="L408" s="7" t="s">
        <v>21</v>
      </c>
      <c r="M408" s="7" t="s">
        <v>22</v>
      </c>
      <c r="N408" s="7" t="s">
        <v>22</v>
      </c>
    </row>
    <row r="409" spans="1:14" s="4" customFormat="1" ht="13.2" x14ac:dyDescent="0.25">
      <c r="A409" s="7" t="s">
        <v>1482</v>
      </c>
      <c r="B409" s="7" t="s">
        <v>1483</v>
      </c>
      <c r="C409" s="7" t="s">
        <v>1484</v>
      </c>
      <c r="D409" s="6">
        <v>0.3488</v>
      </c>
      <c r="E409" s="7" t="s">
        <v>1485</v>
      </c>
      <c r="F409" s="7" t="s">
        <v>1483</v>
      </c>
      <c r="G409" s="6">
        <v>2773935.5935999998</v>
      </c>
      <c r="H409" s="6">
        <f>_xll.BDP($A409,"IPO_OFFER_PX_TO_LAST_CLOSE_%_CHG",$A$1,$A$2)</f>
        <v>-99.37603</v>
      </c>
      <c r="I409" s="6" t="str">
        <f>_xll.BDP($A409,"IPO_OFFER_PX_TO_1ST_OPEN_%_CHG",$A$1,$A$2)</f>
        <v>#N/A N/A</v>
      </c>
      <c r="J409" s="6">
        <v>4.3</v>
      </c>
      <c r="K409" s="6">
        <v>2790700</v>
      </c>
      <c r="L409" s="7" t="s">
        <v>174</v>
      </c>
      <c r="M409" s="7" t="s">
        <v>1486</v>
      </c>
      <c r="N409" s="7" t="s">
        <v>1487</v>
      </c>
    </row>
    <row r="410" spans="1:14" s="4" customFormat="1" ht="13.2" x14ac:dyDescent="0.25">
      <c r="A410" s="7" t="s">
        <v>1488</v>
      </c>
      <c r="B410" s="7" t="s">
        <v>1489</v>
      </c>
      <c r="C410" s="7" t="s">
        <v>1484</v>
      </c>
      <c r="D410" s="6"/>
      <c r="E410" s="7" t="s">
        <v>1490</v>
      </c>
      <c r="F410" s="7" t="s">
        <v>1489</v>
      </c>
      <c r="G410" s="6"/>
      <c r="H410" s="6" t="str">
        <f>_xll.BDP($A410,"IPO_OFFER_PX_TO_LAST_CLOSE_%_CHG",$A$1,$A$2)</f>
        <v>#N/A N/A</v>
      </c>
      <c r="I410" s="6">
        <f>_xll.BDP($A410,"IPO_OFFER_PX_TO_1ST_OPEN_%_CHG",$A$1,$A$2)</f>
        <v>54</v>
      </c>
      <c r="J410" s="6">
        <v>50</v>
      </c>
      <c r="K410" s="6">
        <v>8560900</v>
      </c>
      <c r="L410" s="7"/>
      <c r="M410" s="7"/>
      <c r="N410" s="7"/>
    </row>
    <row r="411" spans="1:14" s="4" customFormat="1" ht="13.2" x14ac:dyDescent="0.25">
      <c r="A411" s="7" t="s">
        <v>1491</v>
      </c>
      <c r="B411" s="7" t="s">
        <v>1492</v>
      </c>
      <c r="C411" s="7" t="s">
        <v>1493</v>
      </c>
      <c r="D411" s="6">
        <v>17.690000000000001</v>
      </c>
      <c r="E411" s="7" t="s">
        <v>1494</v>
      </c>
      <c r="F411" s="7" t="s">
        <v>1492</v>
      </c>
      <c r="G411" s="6">
        <v>1590112546.1900001</v>
      </c>
      <c r="H411" s="6">
        <f>_xll.BDP($A411,"IPO_OFFER_PX_TO_LAST_CLOSE_%_CHG",$A$1,$A$2)</f>
        <v>26.357150000000001</v>
      </c>
      <c r="I411" s="6">
        <f>_xll.BDP($A411,"IPO_OFFER_PX_TO_1ST_OPEN_%_CHG",$A$1,$A$2)</f>
        <v>0</v>
      </c>
      <c r="J411" s="6">
        <v>14</v>
      </c>
      <c r="K411" s="6">
        <v>7375300</v>
      </c>
      <c r="L411" s="7" t="s">
        <v>66</v>
      </c>
      <c r="M411" s="7" t="s">
        <v>116</v>
      </c>
      <c r="N411" s="7" t="s">
        <v>117</v>
      </c>
    </row>
    <row r="412" spans="1:14" s="4" customFormat="1" ht="13.2" x14ac:dyDescent="0.25">
      <c r="A412" s="7" t="s">
        <v>1495</v>
      </c>
      <c r="B412" s="7" t="s">
        <v>1496</v>
      </c>
      <c r="C412" s="7" t="s">
        <v>1493</v>
      </c>
      <c r="D412" s="6"/>
      <c r="E412" s="7" t="s">
        <v>1497</v>
      </c>
      <c r="F412" s="7" t="s">
        <v>1496</v>
      </c>
      <c r="G412" s="6"/>
      <c r="H412" s="6" t="str">
        <f>_xll.BDP($A412,"IPO_OFFER_PX_TO_LAST_CLOSE_%_CHG",$A$1,$A$2)</f>
        <v>#N/A N/A</v>
      </c>
      <c r="I412" s="6">
        <f>_xll.BDP($A412,"IPO_OFFER_PX_TO_1ST_OPEN_%_CHG",$A$1,$A$2)</f>
        <v>-26.153849999999998</v>
      </c>
      <c r="J412" s="6">
        <v>13</v>
      </c>
      <c r="K412" s="6">
        <v>7250000</v>
      </c>
      <c r="L412" s="7"/>
      <c r="M412" s="7"/>
      <c r="N412" s="7"/>
    </row>
    <row r="413" spans="1:14" s="4" customFormat="1" ht="13.2" x14ac:dyDescent="0.25">
      <c r="A413" s="7" t="s">
        <v>1498</v>
      </c>
      <c r="B413" s="7" t="s">
        <v>1499</v>
      </c>
      <c r="C413" s="7" t="s">
        <v>1493</v>
      </c>
      <c r="D413" s="6"/>
      <c r="E413" s="7" t="s">
        <v>1500</v>
      </c>
      <c r="F413" s="7" t="s">
        <v>1499</v>
      </c>
      <c r="G413" s="6"/>
      <c r="H413" s="6" t="str">
        <f>_xll.BDP($A413,"IPO_OFFER_PX_TO_LAST_CLOSE_%_CHG",$A$1,$A$2)</f>
        <v>#N/A N/A</v>
      </c>
      <c r="I413" s="6">
        <f>_xll.BDP($A413,"IPO_OFFER_PX_TO_1ST_OPEN_%_CHG",$A$1,$A$2)</f>
        <v>3.6</v>
      </c>
      <c r="J413" s="6">
        <v>10</v>
      </c>
      <c r="K413" s="6">
        <v>25000000</v>
      </c>
      <c r="L413" s="7"/>
      <c r="M413" s="7"/>
      <c r="N413" s="7"/>
    </row>
    <row r="414" spans="1:14" s="4" customFormat="1" ht="13.2" x14ac:dyDescent="0.25">
      <c r="A414" s="7" t="s">
        <v>1501</v>
      </c>
      <c r="B414" s="7" t="s">
        <v>1502</v>
      </c>
      <c r="C414" s="7" t="s">
        <v>1503</v>
      </c>
      <c r="D414" s="6"/>
      <c r="E414" s="7" t="s">
        <v>1504</v>
      </c>
      <c r="F414" s="7" t="s">
        <v>1502</v>
      </c>
      <c r="G414" s="6"/>
      <c r="H414" s="6" t="str">
        <f>_xll.BDP($A414,"IPO_OFFER_PX_TO_LAST_CLOSE_%_CHG",$A$1,$A$2)</f>
        <v>#N/A N/A</v>
      </c>
      <c r="I414" s="6">
        <f>_xll.BDP($A414,"IPO_OFFER_PX_TO_1ST_OPEN_%_CHG",$A$1,$A$2)</f>
        <v>39.5</v>
      </c>
      <c r="J414" s="6">
        <v>30</v>
      </c>
      <c r="K414" s="6">
        <v>51695600</v>
      </c>
      <c r="L414" s="7"/>
      <c r="M414" s="7"/>
      <c r="N414" s="7"/>
    </row>
    <row r="415" spans="1:14" s="4" customFormat="1" ht="13.2" x14ac:dyDescent="0.25">
      <c r="A415" s="7" t="s">
        <v>1505</v>
      </c>
      <c r="B415" s="7" t="s">
        <v>1506</v>
      </c>
      <c r="C415" s="7" t="s">
        <v>1503</v>
      </c>
      <c r="D415" s="6">
        <v>21.76</v>
      </c>
      <c r="E415" s="7" t="s">
        <v>1507</v>
      </c>
      <c r="F415" s="7" t="s">
        <v>1506</v>
      </c>
      <c r="G415" s="6">
        <v>47417825.280000001</v>
      </c>
      <c r="H415" s="6">
        <f>_xll.BDP($A415,"IPO_OFFER_PX_TO_LAST_CLOSE_%_CHG",$A$1,$A$2)</f>
        <v>-99.92747</v>
      </c>
      <c r="I415" s="6">
        <f>_xll.BDP($A415,"IPO_OFFER_PX_TO_1ST_OPEN_%_CHG",$A$1,$A$2)</f>
        <v>30</v>
      </c>
      <c r="J415" s="6">
        <v>10</v>
      </c>
      <c r="K415" s="6">
        <v>5400000</v>
      </c>
      <c r="L415" s="7" t="s">
        <v>33</v>
      </c>
      <c r="M415" s="7" t="s">
        <v>1348</v>
      </c>
      <c r="N415" s="7" t="s">
        <v>1508</v>
      </c>
    </row>
    <row r="416" spans="1:14" s="4" customFormat="1" ht="13.2" x14ac:dyDescent="0.25">
      <c r="A416" s="7" t="s">
        <v>1509</v>
      </c>
      <c r="B416" s="7" t="s">
        <v>1510</v>
      </c>
      <c r="C416" s="7" t="s">
        <v>1503</v>
      </c>
      <c r="D416" s="6"/>
      <c r="E416" s="7" t="s">
        <v>1511</v>
      </c>
      <c r="F416" s="7" t="s">
        <v>1510</v>
      </c>
      <c r="G416" s="6"/>
      <c r="H416" s="6" t="str">
        <f>_xll.BDP($A416,"IPO_OFFER_PX_TO_LAST_CLOSE_%_CHG",$A$1,$A$2)</f>
        <v>#N/A N/A</v>
      </c>
      <c r="I416" s="6">
        <f>_xll.BDP($A416,"IPO_OFFER_PX_TO_1ST_OPEN_%_CHG",$A$1,$A$2)</f>
        <v>-8.8235290000000006</v>
      </c>
      <c r="J416" s="6">
        <v>17</v>
      </c>
      <c r="K416" s="6">
        <v>76000000</v>
      </c>
      <c r="L416" s="7"/>
      <c r="M416" s="7"/>
      <c r="N416" s="7"/>
    </row>
    <row r="417" spans="1:14" s="4" customFormat="1" ht="13.2" x14ac:dyDescent="0.25">
      <c r="A417" s="7" t="s">
        <v>1512</v>
      </c>
      <c r="B417" s="7" t="s">
        <v>1513</v>
      </c>
      <c r="C417" s="7" t="s">
        <v>1514</v>
      </c>
      <c r="D417" s="6">
        <v>13.1</v>
      </c>
      <c r="E417" s="7" t="s">
        <v>1515</v>
      </c>
      <c r="F417" s="7" t="s">
        <v>1513</v>
      </c>
      <c r="G417" s="6"/>
      <c r="H417" s="6">
        <f>_xll.BDP($A417,"IPO_OFFER_PX_TO_LAST_CLOSE_%_CHG",$A$1,$A$2)</f>
        <v>-34.5</v>
      </c>
      <c r="I417" s="6">
        <f>_xll.BDP($A417,"IPO_OFFER_PX_TO_1ST_OPEN_%_CHG",$A$1,$A$2)</f>
        <v>0</v>
      </c>
      <c r="J417" s="6">
        <v>20</v>
      </c>
      <c r="K417" s="6">
        <v>100000000</v>
      </c>
      <c r="L417" s="7"/>
      <c r="M417" s="7"/>
      <c r="N417" s="7"/>
    </row>
    <row r="418" spans="1:14" s="4" customFormat="1" ht="13.2" x14ac:dyDescent="0.25">
      <c r="A418" s="7" t="s">
        <v>1516</v>
      </c>
      <c r="B418" s="7" t="s">
        <v>1517</v>
      </c>
      <c r="C418" s="7" t="s">
        <v>1514</v>
      </c>
      <c r="D418" s="6">
        <v>9.6199999999999992</v>
      </c>
      <c r="E418" s="7" t="s">
        <v>1518</v>
      </c>
      <c r="F418" s="7" t="s">
        <v>1517</v>
      </c>
      <c r="G418" s="6">
        <v>1613964879.54</v>
      </c>
      <c r="H418" s="6">
        <f>_xll.BDP($A418,"IPO_OFFER_PX_TO_LAST_CLOSE_%_CHG",$A$1,$A$2)</f>
        <v>-61.52</v>
      </c>
      <c r="I418" s="6">
        <f>_xll.BDP($A418,"IPO_OFFER_PX_TO_1ST_OPEN_%_CHG",$A$1,$A$2)</f>
        <v>25.2</v>
      </c>
      <c r="J418" s="6">
        <v>25</v>
      </c>
      <c r="K418" s="6">
        <v>77000000</v>
      </c>
      <c r="L418" s="7" t="s">
        <v>33</v>
      </c>
      <c r="M418" s="7" t="s">
        <v>265</v>
      </c>
      <c r="N418" s="7" t="s">
        <v>266</v>
      </c>
    </row>
    <row r="419" spans="1:14" s="4" customFormat="1" ht="13.2" x14ac:dyDescent="0.25">
      <c r="A419" s="7" t="s">
        <v>1519</v>
      </c>
      <c r="B419" s="7" t="s">
        <v>1520</v>
      </c>
      <c r="C419" s="7" t="s">
        <v>1514</v>
      </c>
      <c r="D419" s="6">
        <v>0.97850000000000004</v>
      </c>
      <c r="E419" s="7" t="s">
        <v>1521</v>
      </c>
      <c r="F419" s="7" t="s">
        <v>1520</v>
      </c>
      <c r="G419" s="6">
        <v>97136023.776000008</v>
      </c>
      <c r="H419" s="6">
        <f>_xll.BDP($A419,"IPO_OFFER_PX_TO_LAST_CLOSE_%_CHG",$A$1,$A$2)</f>
        <v>-90.215000000000003</v>
      </c>
      <c r="I419" s="6">
        <f>_xll.BDP($A419,"IPO_OFFER_PX_TO_1ST_OPEN_%_CHG",$A$1,$A$2)</f>
        <v>4</v>
      </c>
      <c r="J419" s="6">
        <v>10</v>
      </c>
      <c r="K419" s="6">
        <v>18000000</v>
      </c>
      <c r="L419" s="7" t="s">
        <v>21</v>
      </c>
      <c r="M419" s="7" t="s">
        <v>87</v>
      </c>
      <c r="N419" s="7" t="s">
        <v>88</v>
      </c>
    </row>
    <row r="420" spans="1:14" s="4" customFormat="1" ht="13.2" x14ac:dyDescent="0.25">
      <c r="A420" s="7" t="s">
        <v>1522</v>
      </c>
      <c r="B420" s="7" t="s">
        <v>1523</v>
      </c>
      <c r="C420" s="7" t="s">
        <v>1524</v>
      </c>
      <c r="D420" s="6">
        <v>0.44</v>
      </c>
      <c r="E420" s="7" t="s">
        <v>1525</v>
      </c>
      <c r="F420" s="7" t="s">
        <v>1523</v>
      </c>
      <c r="G420" s="6">
        <v>4377265.2</v>
      </c>
      <c r="H420" s="6" t="str">
        <f>_xll.BDP($A420,"IPO_OFFER_PX_TO_LAST_CLOSE_%_CHG",$A$1,$A$2)</f>
        <v>#N/A N/A</v>
      </c>
      <c r="I420" s="6" t="str">
        <f>_xll.BDP($A420,"IPO_OFFER_PX_TO_1ST_OPEN_%_CHG",$A$1,$A$2)</f>
        <v>#N/A N/A</v>
      </c>
      <c r="J420" s="6"/>
      <c r="K420" s="6">
        <v>1950800</v>
      </c>
      <c r="L420" s="7"/>
      <c r="M420" s="7"/>
      <c r="N420" s="7"/>
    </row>
    <row r="421" spans="1:14" s="4" customFormat="1" ht="13.2" x14ac:dyDescent="0.25">
      <c r="A421" s="7" t="s">
        <v>1526</v>
      </c>
      <c r="B421" s="7" t="s">
        <v>1527</v>
      </c>
      <c r="C421" s="7" t="s">
        <v>1524</v>
      </c>
      <c r="D421" s="6"/>
      <c r="E421" s="7" t="s">
        <v>1528</v>
      </c>
      <c r="F421" s="7" t="s">
        <v>1527</v>
      </c>
      <c r="G421" s="6"/>
      <c r="H421" s="6" t="str">
        <f>_xll.BDP($A421,"IPO_OFFER_PX_TO_LAST_CLOSE_%_CHG",$A$1,$A$2)</f>
        <v>#N/A N/A</v>
      </c>
      <c r="I421" s="6">
        <f>_xll.BDP($A421,"IPO_OFFER_PX_TO_1ST_OPEN_%_CHG",$A$1,$A$2)</f>
        <v>4</v>
      </c>
      <c r="J421" s="6">
        <v>10</v>
      </c>
      <c r="K421" s="6">
        <v>20000000</v>
      </c>
      <c r="L421" s="7"/>
      <c r="M421" s="7"/>
      <c r="N421" s="7"/>
    </row>
    <row r="422" spans="1:14" s="4" customFormat="1" ht="13.2" x14ac:dyDescent="0.25">
      <c r="A422" s="7" t="s">
        <v>1529</v>
      </c>
      <c r="B422" s="7" t="s">
        <v>1530</v>
      </c>
      <c r="C422" s="7" t="s">
        <v>1524</v>
      </c>
      <c r="D422" s="6"/>
      <c r="E422" s="7" t="s">
        <v>1531</v>
      </c>
      <c r="F422" s="7" t="s">
        <v>1530</v>
      </c>
      <c r="G422" s="6"/>
      <c r="H422" s="6" t="str">
        <f>_xll.BDP($A422,"IPO_OFFER_PX_TO_LAST_CLOSE_%_CHG",$A$1,$A$2)</f>
        <v>#N/A N/A</v>
      </c>
      <c r="I422" s="6">
        <f>_xll.BDP($A422,"IPO_OFFER_PX_TO_1ST_OPEN_%_CHG",$A$1,$A$2)</f>
        <v>5</v>
      </c>
      <c r="J422" s="6">
        <v>10</v>
      </c>
      <c r="K422" s="6">
        <v>27000000</v>
      </c>
      <c r="L422" s="7"/>
      <c r="M422" s="7"/>
      <c r="N422" s="7"/>
    </row>
    <row r="423" spans="1:14" s="4" customFormat="1" ht="13.2" x14ac:dyDescent="0.25">
      <c r="A423" s="7" t="s">
        <v>1532</v>
      </c>
      <c r="B423" s="7" t="s">
        <v>1533</v>
      </c>
      <c r="C423" s="7" t="s">
        <v>1534</v>
      </c>
      <c r="D423" s="6">
        <v>1.4E-3</v>
      </c>
      <c r="E423" s="7" t="s">
        <v>1535</v>
      </c>
      <c r="F423" s="7" t="s">
        <v>1533</v>
      </c>
      <c r="G423" s="6">
        <v>3773.3332</v>
      </c>
      <c r="H423" s="6">
        <f>_xll.BDP($A423,"IPO_OFFER_PX_TO_LAST_CLOSE_%_CHG",$A$1,$A$2)</f>
        <v>-99.999889999999994</v>
      </c>
      <c r="I423" s="6" t="str">
        <f>_xll.BDP($A423,"IPO_OFFER_PX_TO_1ST_OPEN_%_CHG",$A$1,$A$2)</f>
        <v>#N/A N/A</v>
      </c>
      <c r="J423" s="6">
        <v>4.1500000000000004</v>
      </c>
      <c r="K423" s="6">
        <v>3855400</v>
      </c>
      <c r="L423" s="7" t="s">
        <v>40</v>
      </c>
      <c r="M423" s="7" t="s">
        <v>1536</v>
      </c>
      <c r="N423" s="7" t="s">
        <v>1536</v>
      </c>
    </row>
    <row r="424" spans="1:14" s="4" customFormat="1" ht="13.2" x14ac:dyDescent="0.25">
      <c r="A424" s="7" t="s">
        <v>1537</v>
      </c>
      <c r="B424" s="7" t="s">
        <v>1538</v>
      </c>
      <c r="C424" s="7" t="s">
        <v>1534</v>
      </c>
      <c r="D424" s="6">
        <v>1.59</v>
      </c>
      <c r="E424" s="7" t="s">
        <v>1539</v>
      </c>
      <c r="F424" s="7" t="s">
        <v>1538</v>
      </c>
      <c r="G424" s="6">
        <v>226322411.00999999</v>
      </c>
      <c r="H424" s="6">
        <f>_xll.BDP($A424,"IPO_OFFER_PX_TO_LAST_CLOSE_%_CHG",$A$1,$A$2)</f>
        <v>-81.294120000000007</v>
      </c>
      <c r="I424" s="6">
        <f>_xll.BDP($A424,"IPO_OFFER_PX_TO_1ST_OPEN_%_CHG",$A$1,$A$2)</f>
        <v>52.941180000000003</v>
      </c>
      <c r="J424" s="6">
        <v>8.5</v>
      </c>
      <c r="K424" s="6">
        <v>3047000</v>
      </c>
      <c r="L424" s="7" t="s">
        <v>762</v>
      </c>
      <c r="M424" s="7" t="s">
        <v>1540</v>
      </c>
      <c r="N424" s="7" t="s">
        <v>1541</v>
      </c>
    </row>
    <row r="425" spans="1:14" s="4" customFormat="1" ht="13.2" x14ac:dyDescent="0.25">
      <c r="A425" s="7" t="s">
        <v>1542</v>
      </c>
      <c r="B425" s="7" t="s">
        <v>1543</v>
      </c>
      <c r="C425" s="7" t="s">
        <v>1544</v>
      </c>
      <c r="D425" s="6">
        <v>22.79</v>
      </c>
      <c r="E425" s="7" t="s">
        <v>1545</v>
      </c>
      <c r="F425" s="7" t="s">
        <v>1543</v>
      </c>
      <c r="G425" s="6">
        <v>138902429.14999998</v>
      </c>
      <c r="H425" s="6">
        <f>_xll.BDP($A425,"IPO_OFFER_PX_TO_LAST_CLOSE_%_CHG",$A$1,$A$2)</f>
        <v>127.9</v>
      </c>
      <c r="I425" s="6" t="str">
        <f>_xll.BDP($A425,"IPO_OFFER_PX_TO_1ST_OPEN_%_CHG",$A$1,$A$2)</f>
        <v>#N/A N/A</v>
      </c>
      <c r="J425" s="6">
        <v>10</v>
      </c>
      <c r="K425" s="6">
        <v>3701500</v>
      </c>
      <c r="L425" s="7" t="s">
        <v>66</v>
      </c>
      <c r="M425" s="7" t="s">
        <v>96</v>
      </c>
      <c r="N425" s="7" t="s">
        <v>97</v>
      </c>
    </row>
    <row r="426" spans="1:14" s="4" customFormat="1" ht="13.2" x14ac:dyDescent="0.25">
      <c r="A426" s="7" t="s">
        <v>1546</v>
      </c>
      <c r="B426" s="7" t="s">
        <v>1547</v>
      </c>
      <c r="C426" s="7" t="s">
        <v>1544</v>
      </c>
      <c r="D426" s="6">
        <v>14.88</v>
      </c>
      <c r="E426" s="7" t="s">
        <v>1548</v>
      </c>
      <c r="F426" s="7" t="s">
        <v>1547</v>
      </c>
      <c r="G426" s="6">
        <v>1362047228.1600001</v>
      </c>
      <c r="H426" s="6">
        <f>_xll.BDP($A426,"IPO_OFFER_PX_TO_LAST_CLOSE_%_CHG",$A$1,$A$2)</f>
        <v>14.461539999999999</v>
      </c>
      <c r="I426" s="6">
        <f>_xll.BDP($A426,"IPO_OFFER_PX_TO_1ST_OPEN_%_CHG",$A$1,$A$2)</f>
        <v>50.076920000000001</v>
      </c>
      <c r="J426" s="6">
        <v>13</v>
      </c>
      <c r="K426" s="6">
        <v>9600000</v>
      </c>
      <c r="L426" s="7" t="s">
        <v>102</v>
      </c>
      <c r="M426" s="7" t="s">
        <v>604</v>
      </c>
      <c r="N426" s="7" t="s">
        <v>1549</v>
      </c>
    </row>
    <row r="427" spans="1:14" s="4" customFormat="1" ht="13.2" x14ac:dyDescent="0.25">
      <c r="A427" s="7" t="s">
        <v>1550</v>
      </c>
      <c r="B427" s="7" t="s">
        <v>1551</v>
      </c>
      <c r="C427" s="7" t="s">
        <v>1552</v>
      </c>
      <c r="D427" s="6">
        <v>14.75</v>
      </c>
      <c r="E427" s="7" t="s">
        <v>1553</v>
      </c>
      <c r="F427" s="7" t="s">
        <v>1551</v>
      </c>
      <c r="G427" s="6">
        <v>2433100469</v>
      </c>
      <c r="H427" s="6">
        <f>_xll.BDP($A427,"IPO_OFFER_PX_TO_LAST_CLOSE_%_CHG",$A$1,$A$2)</f>
        <v>-32.954540000000001</v>
      </c>
      <c r="I427" s="6">
        <f>_xll.BDP($A427,"IPO_OFFER_PX_TO_1ST_OPEN_%_CHG",$A$1,$A$2)</f>
        <v>27.272729999999999</v>
      </c>
      <c r="J427" s="6">
        <v>22</v>
      </c>
      <c r="K427" s="6">
        <v>31818200</v>
      </c>
      <c r="L427" s="7" t="s">
        <v>102</v>
      </c>
      <c r="M427" s="7" t="s">
        <v>613</v>
      </c>
      <c r="N427" s="7" t="s">
        <v>1554</v>
      </c>
    </row>
    <row r="428" spans="1:14" s="4" customFormat="1" ht="13.2" x14ac:dyDescent="0.25">
      <c r="A428" s="7" t="s">
        <v>1555</v>
      </c>
      <c r="B428" s="7" t="s">
        <v>1556</v>
      </c>
      <c r="C428" s="7" t="s">
        <v>1552</v>
      </c>
      <c r="D428" s="6"/>
      <c r="E428" s="7" t="s">
        <v>1557</v>
      </c>
      <c r="F428" s="7" t="s">
        <v>1556</v>
      </c>
      <c r="G428" s="6"/>
      <c r="H428" s="6" t="str">
        <f>_xll.BDP($A428,"IPO_OFFER_PX_TO_LAST_CLOSE_%_CHG",$A$1,$A$2)</f>
        <v>#N/A N/A</v>
      </c>
      <c r="I428" s="6">
        <f>_xll.BDP($A428,"IPO_OFFER_PX_TO_1ST_OPEN_%_CHG",$A$1,$A$2)</f>
        <v>27.5</v>
      </c>
      <c r="J428" s="6">
        <v>10</v>
      </c>
      <c r="K428" s="6">
        <v>90000000</v>
      </c>
      <c r="L428" s="7"/>
      <c r="M428" s="7"/>
      <c r="N428" s="7"/>
    </row>
    <row r="429" spans="1:14" s="4" customFormat="1" ht="13.2" x14ac:dyDescent="0.25">
      <c r="A429" s="7" t="s">
        <v>1558</v>
      </c>
      <c r="B429" s="7" t="s">
        <v>1559</v>
      </c>
      <c r="C429" s="7" t="s">
        <v>1560</v>
      </c>
      <c r="D429" s="6"/>
      <c r="E429" s="7" t="s">
        <v>1561</v>
      </c>
      <c r="F429" s="7" t="s">
        <v>1559</v>
      </c>
      <c r="G429" s="6"/>
      <c r="H429" s="6" t="str">
        <f>_xll.BDP($A429,"IPO_OFFER_PX_TO_LAST_CLOSE_%_CHG",$A$1,$A$2)</f>
        <v>#N/A N/A</v>
      </c>
      <c r="I429" s="6">
        <f>_xll.BDP($A429,"IPO_OFFER_PX_TO_1ST_OPEN_%_CHG",$A$1,$A$2)</f>
        <v>132.1429</v>
      </c>
      <c r="J429" s="6">
        <v>42</v>
      </c>
      <c r="K429" s="6">
        <v>6600000</v>
      </c>
      <c r="L429" s="7"/>
      <c r="M429" s="7"/>
      <c r="N429" s="7"/>
    </row>
    <row r="430" spans="1:14" s="4" customFormat="1" ht="13.2" x14ac:dyDescent="0.25">
      <c r="A430" s="7" t="s">
        <v>1562</v>
      </c>
      <c r="B430" s="7" t="s">
        <v>1563</v>
      </c>
      <c r="C430" s="7" t="s">
        <v>1560</v>
      </c>
      <c r="D430" s="6">
        <v>2.71</v>
      </c>
      <c r="E430" s="7" t="s">
        <v>1564</v>
      </c>
      <c r="F430" s="7" t="s">
        <v>1563</v>
      </c>
      <c r="G430" s="6">
        <v>773881835.63000011</v>
      </c>
      <c r="H430" s="6">
        <f>_xll.BDP($A430,"IPO_OFFER_PX_TO_LAST_CLOSE_%_CHG",$A$1,$A$2)</f>
        <v>-84.94444</v>
      </c>
      <c r="I430" s="6">
        <f>_xll.BDP($A430,"IPO_OFFER_PX_TO_1ST_OPEN_%_CHG",$A$1,$A$2)</f>
        <v>44.44444</v>
      </c>
      <c r="J430" s="6">
        <v>18</v>
      </c>
      <c r="K430" s="6">
        <v>48000000</v>
      </c>
      <c r="L430" s="7" t="s">
        <v>102</v>
      </c>
      <c r="M430" s="7" t="s">
        <v>153</v>
      </c>
      <c r="N430" s="7" t="s">
        <v>279</v>
      </c>
    </row>
    <row r="431" spans="1:14" s="4" customFormat="1" ht="13.2" x14ac:dyDescent="0.25">
      <c r="A431" s="7" t="s">
        <v>1565</v>
      </c>
      <c r="B431" s="7" t="s">
        <v>1566</v>
      </c>
      <c r="C431" s="7" t="s">
        <v>1567</v>
      </c>
      <c r="D431" s="6">
        <v>75.319999999999993</v>
      </c>
      <c r="E431" s="7" t="s">
        <v>1568</v>
      </c>
      <c r="F431" s="7" t="s">
        <v>1566</v>
      </c>
      <c r="G431" s="6">
        <v>25242153312.039997</v>
      </c>
      <c r="H431" s="6">
        <f>_xll.BDP($A431,"IPO_OFFER_PX_TO_LAST_CLOSE_%_CHG",$A$1,$A$2)</f>
        <v>53.714289999999998</v>
      </c>
      <c r="I431" s="6">
        <f>_xll.BDP($A431,"IPO_OFFER_PX_TO_1ST_OPEN_%_CHG",$A$1,$A$2)</f>
        <v>85.510199999999998</v>
      </c>
      <c r="J431" s="6">
        <v>49</v>
      </c>
      <c r="K431" s="6">
        <v>24600000</v>
      </c>
      <c r="L431" s="7" t="s">
        <v>66</v>
      </c>
      <c r="M431" s="7" t="s">
        <v>440</v>
      </c>
      <c r="N431" s="7" t="s">
        <v>441</v>
      </c>
    </row>
    <row r="432" spans="1:14" s="4" customFormat="1" ht="13.2" x14ac:dyDescent="0.25">
      <c r="A432" s="7" t="s">
        <v>1569</v>
      </c>
      <c r="B432" s="7" t="s">
        <v>1570</v>
      </c>
      <c r="C432" s="7" t="s">
        <v>1567</v>
      </c>
      <c r="D432" s="6"/>
      <c r="E432" s="7" t="s">
        <v>1571</v>
      </c>
      <c r="F432" s="7" t="s">
        <v>1570</v>
      </c>
      <c r="G432" s="6"/>
      <c r="H432" s="6" t="str">
        <f>_xll.BDP($A432,"IPO_OFFER_PX_TO_LAST_CLOSE_%_CHG",$A$1,$A$2)</f>
        <v>#N/A N/A</v>
      </c>
      <c r="I432" s="6">
        <f>_xll.BDP($A432,"IPO_OFFER_PX_TO_1ST_OPEN_%_CHG",$A$1,$A$2)</f>
        <v>5</v>
      </c>
      <c r="J432" s="6">
        <v>10</v>
      </c>
      <c r="K432" s="6">
        <v>36000000</v>
      </c>
      <c r="L432" s="7"/>
      <c r="M432" s="7"/>
      <c r="N432" s="7"/>
    </row>
    <row r="433" spans="1:14" s="4" customFormat="1" ht="13.2" x14ac:dyDescent="0.25">
      <c r="A433" s="7" t="s">
        <v>1572</v>
      </c>
      <c r="B433" s="7" t="s">
        <v>1573</v>
      </c>
      <c r="C433" s="7" t="s">
        <v>1567</v>
      </c>
      <c r="D433" s="6"/>
      <c r="E433" s="7" t="s">
        <v>1574</v>
      </c>
      <c r="F433" s="7" t="s">
        <v>1573</v>
      </c>
      <c r="G433" s="6"/>
      <c r="H433" s="6" t="str">
        <f>_xll.BDP($A433,"IPO_OFFER_PX_TO_LAST_CLOSE_%_CHG",$A$1,$A$2)</f>
        <v>#N/A N/A</v>
      </c>
      <c r="I433" s="6">
        <f>_xll.BDP($A433,"IPO_OFFER_PX_TO_1ST_OPEN_%_CHG",$A$1,$A$2)</f>
        <v>7.3</v>
      </c>
      <c r="J433" s="6">
        <v>10</v>
      </c>
      <c r="K433" s="6">
        <v>24000000</v>
      </c>
      <c r="L433" s="7"/>
      <c r="M433" s="7"/>
      <c r="N433" s="7"/>
    </row>
    <row r="434" spans="1:14" s="4" customFormat="1" ht="13.2" x14ac:dyDescent="0.25">
      <c r="A434" s="7" t="s">
        <v>1575</v>
      </c>
      <c r="B434" s="7" t="s">
        <v>1576</v>
      </c>
      <c r="C434" s="7" t="s">
        <v>1567</v>
      </c>
      <c r="D434" s="6">
        <v>4.7300000000000004</v>
      </c>
      <c r="E434" s="7" t="s">
        <v>1577</v>
      </c>
      <c r="F434" s="7" t="s">
        <v>1576</v>
      </c>
      <c r="G434" s="6">
        <v>19743043.650000006</v>
      </c>
      <c r="H434" s="6">
        <f>_xll.BDP($A434,"IPO_OFFER_PX_TO_LAST_CLOSE_%_CHG",$A$1,$A$2)</f>
        <v>-97.635000000000005</v>
      </c>
      <c r="I434" s="6">
        <f>_xll.BDP($A434,"IPO_OFFER_PX_TO_1ST_OPEN_%_CHG",$A$1,$A$2)</f>
        <v>75</v>
      </c>
      <c r="J434" s="6">
        <v>20</v>
      </c>
      <c r="K434" s="6">
        <v>3000000</v>
      </c>
      <c r="L434" s="7" t="s">
        <v>174</v>
      </c>
      <c r="M434" s="7" t="s">
        <v>201</v>
      </c>
      <c r="N434" s="7" t="s">
        <v>202</v>
      </c>
    </row>
    <row r="435" spans="1:14" s="4" customFormat="1" ht="13.2" x14ac:dyDescent="0.25">
      <c r="A435" s="7" t="s">
        <v>1578</v>
      </c>
      <c r="B435" s="7" t="s">
        <v>1579</v>
      </c>
      <c r="C435" s="7" t="s">
        <v>1567</v>
      </c>
      <c r="D435" s="6"/>
      <c r="E435" s="7" t="s">
        <v>1580</v>
      </c>
      <c r="F435" s="7" t="s">
        <v>1579</v>
      </c>
      <c r="G435" s="6"/>
      <c r="H435" s="6" t="str">
        <f>_xll.BDP($A435,"IPO_OFFER_PX_TO_LAST_CLOSE_%_CHG",$A$1,$A$2)</f>
        <v>#N/A N/A</v>
      </c>
      <c r="I435" s="6">
        <f>_xll.BDP($A435,"IPO_OFFER_PX_TO_1ST_OPEN_%_CHG",$A$1,$A$2)</f>
        <v>5</v>
      </c>
      <c r="J435" s="6">
        <v>10</v>
      </c>
      <c r="K435" s="6">
        <v>18000000</v>
      </c>
      <c r="L435" s="7"/>
      <c r="M435" s="7"/>
      <c r="N435" s="7"/>
    </row>
    <row r="436" spans="1:14" s="4" customFormat="1" ht="13.2" x14ac:dyDescent="0.25">
      <c r="A436" s="7" t="s">
        <v>1581</v>
      </c>
      <c r="B436" s="7" t="s">
        <v>1582</v>
      </c>
      <c r="C436" s="7" t="s">
        <v>1583</v>
      </c>
      <c r="D436" s="6"/>
      <c r="E436" s="7" t="s">
        <v>1584</v>
      </c>
      <c r="F436" s="7" t="s">
        <v>1582</v>
      </c>
      <c r="G436" s="6"/>
      <c r="H436" s="6" t="str">
        <f>_xll.BDP($A436,"IPO_OFFER_PX_TO_LAST_CLOSE_%_CHG",$A$1,$A$2)</f>
        <v>#N/A N/A</v>
      </c>
      <c r="I436" s="6">
        <f>_xll.BDP($A436,"IPO_OFFER_PX_TO_1ST_OPEN_%_CHG",$A$1,$A$2)</f>
        <v>6</v>
      </c>
      <c r="J436" s="6">
        <v>10</v>
      </c>
      <c r="K436" s="6">
        <v>24000000</v>
      </c>
      <c r="L436" s="7"/>
      <c r="M436" s="7"/>
      <c r="N436" s="7"/>
    </row>
    <row r="437" spans="1:14" s="4" customFormat="1" ht="13.2" x14ac:dyDescent="0.25">
      <c r="A437" s="7" t="s">
        <v>1585</v>
      </c>
      <c r="B437" s="7" t="s">
        <v>1586</v>
      </c>
      <c r="C437" s="7" t="s">
        <v>1587</v>
      </c>
      <c r="D437" s="6">
        <v>17.5</v>
      </c>
      <c r="E437" s="7" t="s">
        <v>1588</v>
      </c>
      <c r="F437" s="7" t="s">
        <v>1586</v>
      </c>
      <c r="G437" s="6">
        <v>1075515805</v>
      </c>
      <c r="H437" s="6">
        <f>_xll.BDP($A437,"IPO_OFFER_PX_TO_LAST_CLOSE_%_CHG",$A$1,$A$2)</f>
        <v>-16.66667</v>
      </c>
      <c r="I437" s="6">
        <f>_xll.BDP($A437,"IPO_OFFER_PX_TO_1ST_OPEN_%_CHG",$A$1,$A$2)</f>
        <v>100</v>
      </c>
      <c r="J437" s="6">
        <v>21</v>
      </c>
      <c r="K437" s="6">
        <v>11900000</v>
      </c>
      <c r="L437" s="7" t="s">
        <v>21</v>
      </c>
      <c r="M437" s="7" t="s">
        <v>22</v>
      </c>
      <c r="N437" s="7" t="s">
        <v>22</v>
      </c>
    </row>
    <row r="438" spans="1:14" s="4" customFormat="1" ht="13.2" x14ac:dyDescent="0.25">
      <c r="A438" s="7" t="s">
        <v>1589</v>
      </c>
      <c r="B438" s="7" t="s">
        <v>1590</v>
      </c>
      <c r="C438" s="7" t="s">
        <v>1591</v>
      </c>
      <c r="D438" s="6"/>
      <c r="E438" s="7" t="s">
        <v>1592</v>
      </c>
      <c r="F438" s="7" t="s">
        <v>1590</v>
      </c>
      <c r="G438" s="6"/>
      <c r="H438" s="6" t="str">
        <f>_xll.BDP($A438,"IPO_OFFER_PX_TO_LAST_CLOSE_%_CHG",$A$1,$A$2)</f>
        <v>#N/A N/A</v>
      </c>
      <c r="I438" s="6">
        <f>_xll.BDP($A438,"IPO_OFFER_PX_TO_1ST_OPEN_%_CHG",$A$1,$A$2)</f>
        <v>25</v>
      </c>
      <c r="J438" s="6">
        <v>10</v>
      </c>
      <c r="K438" s="6">
        <v>40000000</v>
      </c>
      <c r="L438" s="7"/>
      <c r="M438" s="7"/>
      <c r="N438" s="7"/>
    </row>
    <row r="439" spans="1:14" s="4" customFormat="1" ht="13.2" x14ac:dyDescent="0.25">
      <c r="A439" s="7" t="s">
        <v>1593</v>
      </c>
      <c r="B439" s="7" t="s">
        <v>1594</v>
      </c>
      <c r="C439" s="7" t="s">
        <v>1591</v>
      </c>
      <c r="D439" s="6"/>
      <c r="E439" s="7" t="s">
        <v>1595</v>
      </c>
      <c r="F439" s="7" t="s">
        <v>1594</v>
      </c>
      <c r="G439" s="6"/>
      <c r="H439" s="6" t="str">
        <f>_xll.BDP($A439,"IPO_OFFER_PX_TO_LAST_CLOSE_%_CHG",$A$1,$A$2)</f>
        <v>#N/A N/A</v>
      </c>
      <c r="I439" s="6">
        <f>_xll.BDP($A439,"IPO_OFFER_PX_TO_1ST_OPEN_%_CHG",$A$1,$A$2)</f>
        <v>3.1</v>
      </c>
      <c r="J439" s="6">
        <v>10</v>
      </c>
      <c r="K439" s="6">
        <v>12000000</v>
      </c>
      <c r="L439" s="7"/>
      <c r="M439" s="7"/>
      <c r="N439" s="7"/>
    </row>
    <row r="441" spans="1:14" ht="40.049999999999997" customHeight="1" x14ac:dyDescent="0.25">
      <c r="A441" s="9" t="s">
        <v>1596</v>
      </c>
      <c r="B441" s="9"/>
      <c r="C441" s="9"/>
      <c r="D441" s="9"/>
      <c r="E441" s="9"/>
      <c r="F441" s="9"/>
      <c r="G441" s="9"/>
      <c r="H441" s="9"/>
      <c r="I441" s="9"/>
      <c r="J441" s="9"/>
      <c r="K441" s="9"/>
      <c r="L441" s="9"/>
      <c r="M441" s="9"/>
      <c r="N441" s="9"/>
    </row>
  </sheetData>
  <mergeCells count="1">
    <mergeCell ref="A441:N441"/>
  </mergeCells>
  <pageMargins left="0.7" right="0.7" top="0.75" bottom="0.75" header="0.3" footer="0.3"/>
</worksheet>
</file>

<file path=docMetadata/LabelInfo.xml><?xml version="1.0" encoding="utf-8"?>
<clbl:labelList xmlns:clbl="http://schemas.microsoft.com/office/2020/mipLabelMetadata">
  <clbl:label id="{defa4170-0d19-0005-0004-bc88714345d2}" enabled="1" method="Standard" siteId="{b8dec6b4-efc3-484f-96ca-de2c8e72a928}"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Bloomberg L.P.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Bloomberg EREP Reporting platform</dc:creator>
  <cp:keywords>Erep request id:6a5f812aac180000 on NXPGR-RR-928</cp:keywords>
  <cp:lastModifiedBy>Gavin Walsh</cp:lastModifiedBy>
  <dcterms:created xsi:type="dcterms:W3CDTF">2026-07-21T14:25:07Z</dcterms:created>
  <dcterms:modified xsi:type="dcterms:W3CDTF">2026-07-21T14:25:07Z</dcterms:modified>
</cp:coreProperties>
</file>